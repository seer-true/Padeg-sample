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gl\Documents\"/>
    </mc:Choice>
  </mc:AlternateContent>
  <xr:revisionPtr revIDLastSave="0" documentId="13_ncr:1_{E0DE7AC4-06E6-4090-985F-0B1252F6A651}" xr6:coauthVersionLast="46" xr6:coauthVersionMax="46" xr10:uidLastSave="{00000000-0000-0000-0000-000000000000}"/>
  <bookViews>
    <workbookView xWindow="5745" yWindow="1890" windowWidth="21600" windowHeight="11385" xr2:uid="{76B897F8-7984-4484-A7C3-A4E4F3DE06A5}"/>
  </bookViews>
  <sheets>
    <sheet name="Лист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7" i="1"/>
  <c r="G4" i="1"/>
  <c r="G2" i="1"/>
  <c r="G5" i="1"/>
  <c r="G12" i="1"/>
  <c r="G13" i="1"/>
  <c r="G8" i="1"/>
  <c r="G10" i="1"/>
  <c r="G7" i="1"/>
  <c r="G11" i="1"/>
  <c r="G6" i="1"/>
  <c r="G9" i="1"/>
  <c r="G3" i="1"/>
  <c r="G14" i="1"/>
  <c r="G16" i="1"/>
  <c r="G15" i="1"/>
</calcChain>
</file>

<file path=xl/sharedStrings.xml><?xml version="1.0" encoding="utf-8"?>
<sst xmlns="http://schemas.openxmlformats.org/spreadsheetml/2006/main" count="51" uniqueCount="46">
  <si>
    <t>Иванов Иван Иванович</t>
  </si>
  <si>
    <t>Главный инженер</t>
  </si>
  <si>
    <t>Завод</t>
  </si>
  <si>
    <t>Петров Гаврило Михайлович</t>
  </si>
  <si>
    <t>Иванову Ивану Ивановичу</t>
  </si>
  <si>
    <t>Данные</t>
  </si>
  <si>
    <t>Функция</t>
  </si>
  <si>
    <t>ПадежФИО</t>
  </si>
  <si>
    <t>ПадежФИОиРод</t>
  </si>
  <si>
    <t>ПадежДолж</t>
  </si>
  <si>
    <t>ПадежПодр</t>
  </si>
  <si>
    <t>ПадежПолнДолж</t>
  </si>
  <si>
    <t>ИменительныйИзПадежа</t>
  </si>
  <si>
    <t>Результат</t>
  </si>
  <si>
    <t>Петров Петр Петрович</t>
  </si>
  <si>
    <t>Род</t>
  </si>
  <si>
    <t>м</t>
  </si>
  <si>
    <t>ФИО для тестирования макросов</t>
  </si>
  <si>
    <t>Словарь</t>
  </si>
  <si>
    <t>Падеж</t>
  </si>
  <si>
    <t>КаталогISO</t>
  </si>
  <si>
    <t>RUB</t>
  </si>
  <si>
    <t>ПадежЧислительного</t>
  </si>
  <si>
    <t>сто двадцать пять и десять сотых</t>
  </si>
  <si>
    <t>НаименованиеВалюты</t>
  </si>
  <si>
    <t>ПадежВалюты</t>
  </si>
  <si>
    <t>Форма</t>
  </si>
  <si>
    <t>DoubleToVerbal</t>
  </si>
  <si>
    <t>NumberToString</t>
  </si>
  <si>
    <t>ЧислоПрописьюСтр</t>
  </si>
  <si>
    <t>154,0005</t>
  </si>
  <si>
    <t>ЧислоПрописью</t>
  </si>
  <si>
    <t>ЧислоВСтроку</t>
  </si>
  <si>
    <t>Функция DLL</t>
  </si>
  <si>
    <t>GetExceptionsFileName</t>
  </si>
  <si>
    <t>CatalogISO</t>
  </si>
  <si>
    <t>GetFIOPadegFSAS</t>
  </si>
  <si>
    <t>GetFIOPadegFS</t>
  </si>
  <si>
    <t>GetAppointmentPadeg</t>
  </si>
  <si>
    <t>GetOfficePadeg</t>
  </si>
  <si>
    <t>GetFullAppointmentPadeg</t>
  </si>
  <si>
    <t>GetNominativePadeg</t>
  </si>
  <si>
    <t>NameCurrency</t>
  </si>
  <si>
    <t>DeclNumeral</t>
  </si>
  <si>
    <t>DeclCurrency</t>
  </si>
  <si>
    <t>SumInWords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</si>
</sst>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0" xfId="0" quotePrefix="1"/>
    <xf numFmtId="0" fontId="0" fillId="0" borderId="0" xfId="0" quotePrefix="1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551EB-D68F-4586-8D8E-46EEE0658CD5}">
  <sheetPr codeName="Лист1"/>
  <dimension ref="A1:G22"/>
  <sheetViews>
    <sheetView tabSelected="1" workbookViewId="0">
      <selection activeCell="G13" sqref="G13"/>
    </sheetView>
  </sheetViews>
  <sheetFormatPr defaultRowHeight="15" x14ac:dyDescent="0.25"/>
  <cols>
    <col min="1" max="1" width="33.7109375" customWidth="1"/>
    <col min="2" max="2" width="4.5703125" style="1" customWidth="1"/>
    <col min="3" max="3" width="7.28515625" style="1" bestFit="1" customWidth="1"/>
    <col min="4" max="4" width="7.28515625" style="1" customWidth="1"/>
    <col min="5" max="6" width="25.85546875" customWidth="1"/>
    <col min="7" max="7" width="55" customWidth="1"/>
  </cols>
  <sheetData>
    <row r="1" spans="1:7" x14ac:dyDescent="0.25">
      <c r="A1" s="2" t="s">
        <v>5</v>
      </c>
      <c r="B1" s="2" t="s">
        <v>15</v>
      </c>
      <c r="C1" s="2" t="s">
        <v>19</v>
      </c>
      <c r="D1" s="2" t="s">
        <v>26</v>
      </c>
      <c r="E1" s="2" t="s">
        <v>6</v>
      </c>
      <c r="F1" s="2" t="s">
        <v>33</v>
      </c>
      <c r="G1" s="2" t="s">
        <v>13</v>
      </c>
    </row>
    <row r="2" spans="1:7" x14ac:dyDescent="0.25">
      <c r="A2" t="s">
        <v>0</v>
      </c>
      <c r="C2" s="1">
        <v>2</v>
      </c>
      <c r="E2" t="s">
        <v>7</v>
      </c>
      <c r="F2" t="s">
        <v>36</v>
      </c>
      <c r="G2" t="str">
        <f>ПадежФИО(A2,C2)</f>
        <v>Иванова Ивана Ивановича</v>
      </c>
    </row>
    <row r="3" spans="1:7" x14ac:dyDescent="0.25">
      <c r="A3" t="s">
        <v>3</v>
      </c>
      <c r="B3" s="1" t="s">
        <v>16</v>
      </c>
      <c r="C3" s="1">
        <v>3</v>
      </c>
      <c r="E3" t="s">
        <v>8</v>
      </c>
      <c r="F3" t="s">
        <v>37</v>
      </c>
      <c r="G3" t="str">
        <f>ПадежФИОиРод(A3,B3,C3)</f>
        <v>Петрову Гавриле Михайловичу</v>
      </c>
    </row>
    <row r="4" spans="1:7" x14ac:dyDescent="0.25">
      <c r="A4" t="s">
        <v>1</v>
      </c>
      <c r="C4" s="1">
        <v>4</v>
      </c>
      <c r="E4" t="s">
        <v>9</v>
      </c>
      <c r="F4" t="s">
        <v>38</v>
      </c>
      <c r="G4" t="str">
        <f>ПадежДолж(A4,C4)</f>
        <v>Главного инженера</v>
      </c>
    </row>
    <row r="5" spans="1:7" x14ac:dyDescent="0.25">
      <c r="A5" t="s">
        <v>2</v>
      </c>
      <c r="C5" s="1">
        <v>5</v>
      </c>
      <c r="E5" t="s">
        <v>10</v>
      </c>
      <c r="F5" t="s">
        <v>39</v>
      </c>
      <c r="G5" t="str">
        <f>ПадежПодр(A5,C5)</f>
        <v>Заводом</v>
      </c>
    </row>
    <row r="6" spans="1:7" x14ac:dyDescent="0.25">
      <c r="C6" s="1">
        <v>6</v>
      </c>
      <c r="E6" t="s">
        <v>11</v>
      </c>
      <c r="F6" t="s">
        <v>40</v>
      </c>
      <c r="G6" t="str">
        <f>ПадежПолнДолж(A4,A5,C6)</f>
        <v>Главном инженере завода</v>
      </c>
    </row>
    <row r="7" spans="1:7" x14ac:dyDescent="0.25">
      <c r="A7" t="s">
        <v>4</v>
      </c>
      <c r="E7" t="s">
        <v>12</v>
      </c>
      <c r="F7" t="s">
        <v>41</v>
      </c>
      <c r="G7" t="str">
        <f>ИменительныйИзПадежа(A7)</f>
        <v>Иванов Иван Иванович</v>
      </c>
    </row>
    <row r="8" spans="1:7" x14ac:dyDescent="0.25">
      <c r="E8" t="s">
        <v>18</v>
      </c>
      <c r="F8" t="s">
        <v>34</v>
      </c>
      <c r="G8" t="str">
        <f>Словарь()</f>
        <v>C:\Users\Public\Padeg\except.dic</v>
      </c>
    </row>
    <row r="9" spans="1:7" x14ac:dyDescent="0.25">
      <c r="E9" t="s">
        <v>20</v>
      </c>
      <c r="F9" t="s">
        <v>35</v>
      </c>
      <c r="G9" t="str">
        <f>КаталогISO()</f>
        <v xml:space="preserve">RUB_x000D_
EUR_x000D_
USD_x000D_
</v>
      </c>
    </row>
    <row r="10" spans="1:7" x14ac:dyDescent="0.25">
      <c r="A10" t="s">
        <v>21</v>
      </c>
      <c r="E10" t="s">
        <v>24</v>
      </c>
      <c r="F10" t="s">
        <v>42</v>
      </c>
      <c r="G10" t="str">
        <f>НаименованиеВалюты(A10)</f>
        <v>рубль</v>
      </c>
    </row>
    <row r="11" spans="1:7" x14ac:dyDescent="0.25">
      <c r="A11" t="s">
        <v>23</v>
      </c>
      <c r="B11" s="1">
        <v>0</v>
      </c>
      <c r="C11" s="1">
        <v>3</v>
      </c>
      <c r="E11" t="s">
        <v>22</v>
      </c>
      <c r="F11" t="s">
        <v>43</v>
      </c>
      <c r="G11" t="str">
        <f>ПадежЧислительного(A11,C11,B11,FALSE, FALSE )</f>
        <v>ста двадцати пяти и десяти сотым</v>
      </c>
    </row>
    <row r="12" spans="1:7" x14ac:dyDescent="0.25">
      <c r="A12">
        <v>125.45</v>
      </c>
      <c r="C12" s="1">
        <v>2</v>
      </c>
      <c r="D12" s="1">
        <v>1</v>
      </c>
      <c r="E12" t="s">
        <v>25</v>
      </c>
      <c r="F12" t="s">
        <v>44</v>
      </c>
      <c r="G12" t="str">
        <f>ПадежВалюты(A12,A10,C12,D12)</f>
        <v>125 (ста двадцати пяти) рублей 45 копеек</v>
      </c>
    </row>
    <row r="13" spans="1:7" x14ac:dyDescent="0.25">
      <c r="A13" s="4">
        <v>154.00049999999999</v>
      </c>
      <c r="B13" s="1">
        <v>0</v>
      </c>
      <c r="E13" t="s">
        <v>29</v>
      </c>
      <c r="F13" t="s">
        <v>45</v>
      </c>
      <c r="G13" t="str">
        <f>ЧислоПрописьюСтр(A13,B13,8,TRUE,FALSE)</f>
        <v>сто пятьдесят четыре и 5 десятитысячных</v>
      </c>
    </row>
    <row r="14" spans="1:7" x14ac:dyDescent="0.25">
      <c r="A14" s="5" t="s">
        <v>30</v>
      </c>
      <c r="B14" s="1">
        <v>0</v>
      </c>
      <c r="E14" t="s">
        <v>29</v>
      </c>
      <c r="G14" t="str">
        <f>ЧислоПрописьюСтр(A14,B14,8,TRUE,FALSE)</f>
        <v>сто пятьдесят четыре и 5 десятитысячных</v>
      </c>
    </row>
    <row r="15" spans="1:7" x14ac:dyDescent="0.25">
      <c r="A15" s="4">
        <v>123.25</v>
      </c>
      <c r="B15" s="1">
        <v>0</v>
      </c>
      <c r="E15" t="s">
        <v>31</v>
      </c>
      <c r="F15" t="s">
        <v>28</v>
      </c>
      <c r="G15" t="str">
        <f t="shared" ref="G15:G16" si="0">ЧислоПрописью(A15,B15,5,TRUE,FALSE)</f>
        <v>сто двадцать три и 25 сотых</v>
      </c>
    </row>
    <row r="16" spans="1:7" x14ac:dyDescent="0.25">
      <c r="A16" s="4" t="s">
        <v>30</v>
      </c>
      <c r="B16" s="1">
        <v>0</v>
      </c>
      <c r="E16" t="s">
        <v>31</v>
      </c>
      <c r="G16" t="str">
        <f t="shared" si="0"/>
        <v>сто пятьдесят четыре и 5 десятитысячных</v>
      </c>
    </row>
    <row r="17" spans="1:7" x14ac:dyDescent="0.25">
      <c r="A17" s="4">
        <v>123.25</v>
      </c>
      <c r="E17" t="s">
        <v>32</v>
      </c>
      <c r="F17" t="s">
        <v>27</v>
      </c>
      <c r="G17" t="str">
        <f>ЧислоВСтроку(A17)</f>
        <v>сто двадцать три целые и двадцать пять сотых</v>
      </c>
    </row>
    <row r="18" spans="1:7" x14ac:dyDescent="0.25">
      <c r="A18" s="5" t="s">
        <v>30</v>
      </c>
      <c r="E18" t="s">
        <v>32</v>
      </c>
      <c r="G18" t="str">
        <f>ЧислоВСтроку(A18)</f>
        <v>сто пятьдесят четыре целые и пять десятитысячных</v>
      </c>
    </row>
    <row r="19" spans="1:7" x14ac:dyDescent="0.25">
      <c r="A19" s="4"/>
    </row>
    <row r="21" spans="1:7" x14ac:dyDescent="0.25">
      <c r="A21" s="3" t="s">
        <v>17</v>
      </c>
    </row>
    <row r="22" spans="1:7" x14ac:dyDescent="0.25">
      <c r="A22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Геннадий Покаташкин</dc:creator>
  <cp:lastModifiedBy>Геннадий Покаташкин</cp:lastModifiedBy>
  <dcterms:created xsi:type="dcterms:W3CDTF">2021-01-18T03:57:01Z</dcterms:created>
  <dcterms:modified xsi:type="dcterms:W3CDTF">2021-01-29T03:46:59Z</dcterms:modified>
</cp:coreProperties>
</file>