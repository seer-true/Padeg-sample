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D:\DevelopXE\Declension\trunk\Office\"/>
    </mc:Choice>
  </mc:AlternateContent>
  <bookViews>
    <workbookView xWindow="5745" yWindow="1890" windowWidth="21600" windowHeight="11385" activeTab="2"/>
  </bookViews>
  <sheets>
    <sheet name="Примеры" sheetId="1" r:id="rId1"/>
    <sheet name="ФИО" sheetId="4" r:id="rId2"/>
    <sheet name="Кадры" sheetId="5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7" i="4" l="1"/>
  <c r="F47" i="4"/>
  <c r="E47" i="4"/>
  <c r="D47" i="4"/>
  <c r="C47" i="4"/>
  <c r="G46" i="4"/>
  <c r="F46" i="4"/>
  <c r="E46" i="4"/>
  <c r="D46" i="4"/>
  <c r="C46" i="4"/>
  <c r="G45" i="4"/>
  <c r="F45" i="4"/>
  <c r="E45" i="4"/>
  <c r="D45" i="4"/>
  <c r="C45" i="4"/>
  <c r="G44" i="4"/>
  <c r="F44" i="4"/>
  <c r="E44" i="4"/>
  <c r="D44" i="4"/>
  <c r="C44" i="4"/>
  <c r="G43" i="4"/>
  <c r="F43" i="4"/>
  <c r="E43" i="4"/>
  <c r="D43" i="4"/>
  <c r="C43" i="4"/>
  <c r="G42" i="4"/>
  <c r="F42" i="4"/>
  <c r="E42" i="4"/>
  <c r="D42" i="4"/>
  <c r="C42" i="4"/>
  <c r="G41" i="4"/>
  <c r="F41" i="4"/>
  <c r="E41" i="4"/>
  <c r="D41" i="4"/>
  <c r="C41" i="4"/>
  <c r="G40" i="4"/>
  <c r="F40" i="4"/>
  <c r="E40" i="4"/>
  <c r="D40" i="4"/>
  <c r="C40" i="4"/>
  <c r="G39" i="4"/>
  <c r="F39" i="4"/>
  <c r="E39" i="4"/>
  <c r="D39" i="4"/>
  <c r="C39" i="4"/>
  <c r="G38" i="4"/>
  <c r="F38" i="4"/>
  <c r="E38" i="4"/>
  <c r="D38" i="4"/>
  <c r="C38" i="4"/>
  <c r="G37" i="4"/>
  <c r="F37" i="4"/>
  <c r="E37" i="4"/>
  <c r="D37" i="4"/>
  <c r="C37" i="4"/>
  <c r="G36" i="4"/>
  <c r="F36" i="4"/>
  <c r="E36" i="4"/>
  <c r="D36" i="4"/>
  <c r="C36" i="4"/>
  <c r="G35" i="4"/>
  <c r="F35" i="4"/>
  <c r="E35" i="4"/>
  <c r="D35" i="4"/>
  <c r="C35" i="4"/>
  <c r="G34" i="4"/>
  <c r="F34" i="4"/>
  <c r="E34" i="4"/>
  <c r="D34" i="4"/>
  <c r="C34" i="4"/>
  <c r="G33" i="4"/>
  <c r="F33" i="4"/>
  <c r="E33" i="4"/>
  <c r="D33" i="4"/>
  <c r="C33" i="4"/>
  <c r="G32" i="4"/>
  <c r="F32" i="4"/>
  <c r="E32" i="4"/>
  <c r="D32" i="4"/>
  <c r="C32" i="4"/>
  <c r="G31" i="4"/>
  <c r="F31" i="4"/>
  <c r="E31" i="4"/>
  <c r="D31" i="4"/>
  <c r="C31" i="4"/>
  <c r="G30" i="4"/>
  <c r="F30" i="4"/>
  <c r="E30" i="4"/>
  <c r="D30" i="4"/>
  <c r="C30" i="4"/>
  <c r="G29" i="4"/>
  <c r="F29" i="4"/>
  <c r="E29" i="4"/>
  <c r="D29" i="4"/>
  <c r="C29" i="4"/>
  <c r="G28" i="4"/>
  <c r="F28" i="4"/>
  <c r="E28" i="4"/>
  <c r="D28" i="4"/>
  <c r="C28" i="4"/>
  <c r="G27" i="4"/>
  <c r="F27" i="4"/>
  <c r="E27" i="4"/>
  <c r="D27" i="4"/>
  <c r="C27" i="4"/>
  <c r="G26" i="4"/>
  <c r="F26" i="4"/>
  <c r="E26" i="4"/>
  <c r="D26" i="4"/>
  <c r="C26" i="4"/>
  <c r="G25" i="4"/>
  <c r="F25" i="4"/>
  <c r="E25" i="4"/>
  <c r="D25" i="4"/>
  <c r="C25" i="4"/>
  <c r="G24" i="4"/>
  <c r="F24" i="4"/>
  <c r="E24" i="4"/>
  <c r="D24" i="4"/>
  <c r="C24" i="4"/>
  <c r="G23" i="4"/>
  <c r="F23" i="4"/>
  <c r="E23" i="4"/>
  <c r="D23" i="4"/>
  <c r="C23" i="4"/>
  <c r="G22" i="4"/>
  <c r="F22" i="4"/>
  <c r="E22" i="4"/>
  <c r="D22" i="4"/>
  <c r="C22" i="4"/>
  <c r="G21" i="4"/>
  <c r="F21" i="4"/>
  <c r="E21" i="4"/>
  <c r="D21" i="4"/>
  <c r="C21" i="4"/>
  <c r="G20" i="4"/>
  <c r="F20" i="4"/>
  <c r="E20" i="4"/>
  <c r="D20" i="4"/>
  <c r="C20" i="4"/>
  <c r="G19" i="4"/>
  <c r="F19" i="4"/>
  <c r="E19" i="4"/>
  <c r="D19" i="4"/>
  <c r="C19" i="4"/>
  <c r="G18" i="4"/>
  <c r="F18" i="4"/>
  <c r="E18" i="4"/>
  <c r="D18" i="4"/>
  <c r="C18" i="4"/>
  <c r="G17" i="4"/>
  <c r="F17" i="4"/>
  <c r="E17" i="4"/>
  <c r="D17" i="4"/>
  <c r="C17" i="4"/>
  <c r="G16" i="4"/>
  <c r="F16" i="4"/>
  <c r="E16" i="4"/>
  <c r="D16" i="4"/>
  <c r="C16" i="4"/>
  <c r="G15" i="4"/>
  <c r="F15" i="4"/>
  <c r="E15" i="4"/>
  <c r="D15" i="4"/>
  <c r="C15" i="4"/>
  <c r="G14" i="4"/>
  <c r="F14" i="4"/>
  <c r="E14" i="4"/>
  <c r="D14" i="4"/>
  <c r="C14" i="4"/>
  <c r="G13" i="4"/>
  <c r="F13" i="4"/>
  <c r="E13" i="4"/>
  <c r="D13" i="4"/>
  <c r="C13" i="4"/>
  <c r="G12" i="4"/>
  <c r="F12" i="4"/>
  <c r="E12" i="4"/>
  <c r="D12" i="4"/>
  <c r="C12" i="4"/>
  <c r="G11" i="4"/>
  <c r="F11" i="4"/>
  <c r="E11" i="4"/>
  <c r="D11" i="4"/>
  <c r="C11" i="4"/>
  <c r="G10" i="4"/>
  <c r="F10" i="4"/>
  <c r="E10" i="4"/>
  <c r="D10" i="4"/>
  <c r="C10" i="4"/>
  <c r="G9" i="4"/>
  <c r="F9" i="4"/>
  <c r="E9" i="4"/>
  <c r="D9" i="4"/>
  <c r="C9" i="4"/>
  <c r="G8" i="4"/>
  <c r="F8" i="4"/>
  <c r="E8" i="4"/>
  <c r="D8" i="4"/>
  <c r="C8" i="4"/>
  <c r="G7" i="4"/>
  <c r="F7" i="4"/>
  <c r="E7" i="4"/>
  <c r="D7" i="4"/>
  <c r="C7" i="4"/>
  <c r="G6" i="4"/>
  <c r="F6" i="4"/>
  <c r="E6" i="4"/>
  <c r="D6" i="4"/>
  <c r="C6" i="4"/>
  <c r="G5" i="4"/>
  <c r="F5" i="4"/>
  <c r="E5" i="4"/>
  <c r="D5" i="4"/>
  <c r="C5" i="4"/>
  <c r="G4" i="4"/>
  <c r="F4" i="4"/>
  <c r="E4" i="4"/>
  <c r="D4" i="4"/>
  <c r="C4" i="4"/>
  <c r="G3" i="4"/>
  <c r="F3" i="4"/>
  <c r="E3" i="4"/>
  <c r="D3" i="4"/>
  <c r="C3" i="4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2" i="1"/>
  <c r="H3" i="1"/>
  <c r="G14" i="5"/>
  <c r="G3" i="5"/>
  <c r="G13" i="5"/>
  <c r="G33" i="5"/>
  <c r="G30" i="5"/>
  <c r="G22" i="5"/>
  <c r="G43" i="5"/>
  <c r="G36" i="5"/>
  <c r="G44" i="5"/>
  <c r="G9" i="5"/>
  <c r="G12" i="5"/>
  <c r="G27" i="5"/>
  <c r="G24" i="5"/>
  <c r="G16" i="5"/>
  <c r="G42" i="5"/>
  <c r="G35" i="5"/>
  <c r="G29" i="5"/>
  <c r="G23" i="5"/>
  <c r="G39" i="5"/>
  <c r="G28" i="5"/>
  <c r="G38" i="5"/>
  <c r="G45" i="5"/>
  <c r="G8" i="5"/>
  <c r="G11" i="5"/>
  <c r="G32" i="5"/>
  <c r="G19" i="5"/>
  <c r="G21" i="5"/>
  <c r="G41" i="5"/>
  <c r="G34" i="5"/>
  <c r="G7" i="5"/>
  <c r="G10" i="5"/>
  <c r="G26" i="5"/>
  <c r="G18" i="5"/>
  <c r="G15" i="5"/>
  <c r="G40" i="5"/>
  <c r="G47" i="5"/>
  <c r="G5" i="5"/>
  <c r="G31" i="5"/>
  <c r="G20" i="5"/>
  <c r="G46" i="5"/>
  <c r="G25" i="5"/>
  <c r="G17" i="5"/>
  <c r="G37" i="5"/>
  <c r="G6" i="5"/>
  <c r="G4" i="5"/>
</calcChain>
</file>

<file path=xl/sharedStrings.xml><?xml version="1.0" encoding="utf-8"?>
<sst xmlns="http://schemas.openxmlformats.org/spreadsheetml/2006/main" count="283" uniqueCount="146">
  <si>
    <t>Иванов Иван Иванович</t>
  </si>
  <si>
    <t>Главный инженер</t>
  </si>
  <si>
    <t>Завод</t>
  </si>
  <si>
    <t>Петров Гаврило Михайлович</t>
  </si>
  <si>
    <t>Иванову Ивану Ивановичу</t>
  </si>
  <si>
    <t>Данные</t>
  </si>
  <si>
    <t>Функция</t>
  </si>
  <si>
    <t>ПадежФИО</t>
  </si>
  <si>
    <t>ПадежФИОиРод</t>
  </si>
  <si>
    <t>ПадежДолж</t>
  </si>
  <si>
    <t>ПадежПодр</t>
  </si>
  <si>
    <t>ПадежПолнДолж</t>
  </si>
  <si>
    <t>ИменительныйИзПадежа</t>
  </si>
  <si>
    <t>Результат</t>
  </si>
  <si>
    <t>Петров Петр Петрович</t>
  </si>
  <si>
    <t>Род</t>
  </si>
  <si>
    <t>м</t>
  </si>
  <si>
    <t>ФИО для тестирования макросов</t>
  </si>
  <si>
    <t>Словарь</t>
  </si>
  <si>
    <t>Падеж</t>
  </si>
  <si>
    <t>КаталогISO</t>
  </si>
  <si>
    <t>RUB</t>
  </si>
  <si>
    <t>ПадежЧислительного</t>
  </si>
  <si>
    <t>сто двадцать пять и десять сотых</t>
  </si>
  <si>
    <t>НаименованиеВалюты</t>
  </si>
  <si>
    <t>ПадежВалюты</t>
  </si>
  <si>
    <t>Форма</t>
  </si>
  <si>
    <t>DoubleToVerbal</t>
  </si>
  <si>
    <t>NumberToString</t>
  </si>
  <si>
    <t>ЧислоПрописьюСтр</t>
  </si>
  <si>
    <t>154,0005</t>
  </si>
  <si>
    <t>ЧислоПрописью</t>
  </si>
  <si>
    <t>ЧислоВСтроку</t>
  </si>
  <si>
    <t>Функция DLL</t>
  </si>
  <si>
    <t>GetExceptionsFileName</t>
  </si>
  <si>
    <t>CatalogISO</t>
  </si>
  <si>
    <t>GetFIOPadegFSAS</t>
  </si>
  <si>
    <t>GetFIOPadegFS</t>
  </si>
  <si>
    <t>GetAppointmentPadeg</t>
  </si>
  <si>
    <t>GetOfficePadeg</t>
  </si>
  <si>
    <t>GetFullAppointmentPadeg</t>
  </si>
  <si>
    <t>GetNominativePadeg</t>
  </si>
  <si>
    <t>NameCurrency</t>
  </si>
  <si>
    <t>DeclNumeral</t>
  </si>
  <si>
    <t>DeclCurrency</t>
  </si>
  <si>
    <t>SumInWords</t>
  </si>
  <si>
    <t>Пушкин Александр Сергеевич</t>
  </si>
  <si>
    <t>Высоцкий Владимир Семенович</t>
  </si>
  <si>
    <t>Клинцев Виктор Григорьевич</t>
  </si>
  <si>
    <t>Иванов Сидор Петрович</t>
  </si>
  <si>
    <t>Ломоносов Михайло Васильевич</t>
  </si>
  <si>
    <t>Мицкевич Мария Михайловна</t>
  </si>
  <si>
    <t>Хитрово Николай Захарович</t>
  </si>
  <si>
    <t>Польских Галина Александровна</t>
  </si>
  <si>
    <t>Черни-Стефаньска Галина Станиславовна</t>
  </si>
  <si>
    <t>Гоголь Николай Васильевич</t>
  </si>
  <si>
    <t>Мексиканец Виталий Петрович</t>
  </si>
  <si>
    <t>Слизка Любовь Викторовна</t>
  </si>
  <si>
    <t>Чиковани Татьяна Кимовна</t>
  </si>
  <si>
    <t>Тер-Иванов Вильям Карлович</t>
  </si>
  <si>
    <t>Онук Сергей Викторович</t>
  </si>
  <si>
    <t>Ена Виталий Николаевич</t>
  </si>
  <si>
    <t>Ломака Владимир Михайлович</t>
  </si>
  <si>
    <t>Джугашвилли Иосиф Виссарионович</t>
  </si>
  <si>
    <t>Шнеперсон Исраиль Натанович</t>
  </si>
  <si>
    <t>Чирва Николь Петровна</t>
  </si>
  <si>
    <t>Гамзатова Гюльчетай Рустамовна</t>
  </si>
  <si>
    <t>Галяутдинова Альфия Абдуллаевна</t>
  </si>
  <si>
    <t>Надоян Гриша Сережаевич</t>
  </si>
  <si>
    <t>Мукамаев Миша Давлетянович</t>
  </si>
  <si>
    <t>Пыкша Татьяна Николаевна</t>
  </si>
  <si>
    <t>Шайхаттарова Муляуша Ирфановна</t>
  </si>
  <si>
    <t>Фазлыева Айгуль Нурулловна</t>
  </si>
  <si>
    <t>Дивов Байрам Аскер Оглы</t>
  </si>
  <si>
    <t>Аскер-Али-Pаде Адиль Тофик Оглы</t>
  </si>
  <si>
    <t>Давлетова Зульфия Нияз Кызы</t>
  </si>
  <si>
    <t>Уткин-Краматорский-Задунайский Гаврила Васильевич</t>
  </si>
  <si>
    <t>Амбарцумян Карен Грачи</t>
  </si>
  <si>
    <t>Коваль Юрий Иосифович</t>
  </si>
  <si>
    <t>Добржанская Любовь Ивановна</t>
  </si>
  <si>
    <t>Виролайнен Любовь Ивановна</t>
  </si>
  <si>
    <t>Коваль Алла Петровна</t>
  </si>
  <si>
    <t>Иванов С. П.</t>
  </si>
  <si>
    <t>Петрова Р М</t>
  </si>
  <si>
    <t>Шевченко Тарас Григорьевич</t>
  </si>
  <si>
    <t>Джантюрин Салим-Гирей Ахмедович</t>
  </si>
  <si>
    <t>Демут-Малиновский Василий Иванович</t>
  </si>
  <si>
    <t>Островских Пётр Евгеньевич</t>
  </si>
  <si>
    <t>Сидоров М. И</t>
  </si>
  <si>
    <t>Дидаев Рамзан Саид-Ахмедович</t>
  </si>
  <si>
    <t>ж</t>
  </si>
  <si>
    <t>ФИО</t>
  </si>
  <si>
    <t>Должность</t>
  </si>
  <si>
    <t>Подразделение</t>
  </si>
  <si>
    <t>Генеральный директор</t>
  </si>
  <si>
    <t>Зам. Генерального директора</t>
  </si>
  <si>
    <t>Бухгалтер</t>
  </si>
  <si>
    <t>Главный бухгалтер</t>
  </si>
  <si>
    <t>Отдел кадров</t>
  </si>
  <si>
    <t>Начальник отдела</t>
  </si>
  <si>
    <t>Отдел материально-технического снабжения</t>
  </si>
  <si>
    <t>Дирекция ОАО "Электрозаборстрой"</t>
  </si>
  <si>
    <t>Инженер</t>
  </si>
  <si>
    <t>Инженер 1-ой категории</t>
  </si>
  <si>
    <t>Ведущий инженер</t>
  </si>
  <si>
    <t>Инженер-электрик</t>
  </si>
  <si>
    <t>Производственный участок</t>
  </si>
  <si>
    <t>Начальник участка</t>
  </si>
  <si>
    <t>Менеджер</t>
  </si>
  <si>
    <t>Отдел маркетинга</t>
  </si>
  <si>
    <t>Маркетолог</t>
  </si>
  <si>
    <t>Контент-менеджер</t>
  </si>
  <si>
    <t>Начальник управления</t>
  </si>
  <si>
    <t>Проектное управление</t>
  </si>
  <si>
    <t>Инженер-конструтор</t>
  </si>
  <si>
    <t>Прораб</t>
  </si>
  <si>
    <t>Бригадир</t>
  </si>
  <si>
    <t>Плотник</t>
  </si>
  <si>
    <t>Слесарь</t>
  </si>
  <si>
    <t>Административный отдел</t>
  </si>
  <si>
    <t>Зам. Начальника</t>
  </si>
  <si>
    <t>Водитель-экспедитор</t>
  </si>
  <si>
    <t>Повар</t>
  </si>
  <si>
    <t>Клининговый работник</t>
  </si>
  <si>
    <t>Кузнец</t>
  </si>
  <si>
    <t>Электрик</t>
  </si>
  <si>
    <t>Секретариат</t>
  </si>
  <si>
    <t>Секретарь</t>
  </si>
  <si>
    <t>Отдел бухгалтерского учета</t>
  </si>
  <si>
    <t>Подсобный рабочий</t>
  </si>
  <si>
    <t>Столяр</t>
  </si>
  <si>
    <t>ИТ отдел</t>
  </si>
  <si>
    <t>Инженер-программист</t>
  </si>
  <si>
    <t>Web программист</t>
  </si>
  <si>
    <t>Системный администратор</t>
  </si>
  <si>
    <t>Архитектор</t>
  </si>
  <si>
    <t>Цех складских операций</t>
  </si>
  <si>
    <t>Начальник цеха</t>
  </si>
  <si>
    <t>Транспортировщик</t>
  </si>
  <si>
    <t>Водитель погрузяика</t>
  </si>
  <si>
    <t>Грузчик</t>
  </si>
  <si>
    <t>Конструкторско-технологический отдел</t>
  </si>
  <si>
    <t>Инженер-конструктор</t>
  </si>
  <si>
    <t>Инженер-технолог</t>
  </si>
  <si>
    <t>Годовая премия</t>
  </si>
  <si>
    <t>Формулировка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</si>
</sst>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0" xfId="0" applyFont="1" applyFill="1"/>
    <xf numFmtId="0" fontId="0" fillId="0" borderId="0" xfId="0" quotePrefix="1"/>
    <xf numFmtId="0" fontId="0" fillId="0" borderId="0" xfId="0" quotePrefix="1" applyNumberFormat="1"/>
    <xf numFmtId="0" fontId="0" fillId="0" borderId="0" xfId="0" applyAlignment="1">
      <alignment vertical="top" wrapText="1"/>
    </xf>
    <xf numFmtId="4" fontId="0" fillId="0" borderId="0" xfId="0" applyNumberFormat="1" applyAlignment="1">
      <alignment vertical="top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H22"/>
  <sheetViews>
    <sheetView workbookViewId="0">
      <selection activeCell="H3" sqref="H3"/>
    </sheetView>
  </sheetViews>
  <sheetFormatPr defaultRowHeight="15" x14ac:dyDescent="0.25"/>
  <cols>
    <col min="1" max="1" width="33.7109375" customWidth="1"/>
    <col min="2" max="2" width="4.5703125" style="1" customWidth="1"/>
    <col min="3" max="3" width="7.28515625" style="1" bestFit="1" customWidth="1"/>
    <col min="4" max="4" width="7.28515625" style="1" customWidth="1"/>
    <col min="5" max="6" width="25.85546875" customWidth="1"/>
    <col min="7" max="7" width="55" customWidth="1"/>
  </cols>
  <sheetData>
    <row r="1" spans="1:8" x14ac:dyDescent="0.25">
      <c r="A1" s="2" t="s">
        <v>5</v>
      </c>
      <c r="B1" s="2" t="s">
        <v>15</v>
      </c>
      <c r="C1" s="2" t="s">
        <v>19</v>
      </c>
      <c r="D1" s="2" t="s">
        <v>26</v>
      </c>
      <c r="E1" s="2" t="s">
        <v>6</v>
      </c>
      <c r="F1" s="2" t="s">
        <v>33</v>
      </c>
      <c r="G1" s="2" t="s">
        <v>13</v>
      </c>
    </row>
    <row r="2" spans="1:8" x14ac:dyDescent="0.25">
      <c r="A2" t="s">
        <v>0</v>
      </c>
      <c r="C2" s="1">
        <v>2</v>
      </c>
      <c r="E2" t="s">
        <v>7</v>
      </c>
      <c r="F2" t="s">
        <v>36</v>
      </c>
      <c r="G2" t="str">
        <f>ПадежФИО(A2,C2)</f>
        <v>Иванова Ивана Ивановича</v>
      </c>
    </row>
    <row r="3" spans="1:8" x14ac:dyDescent="0.25">
      <c r="A3" t="s">
        <v>3</v>
      </c>
      <c r="B3" s="1" t="s">
        <v>16</v>
      </c>
      <c r="C3" s="1">
        <v>4</v>
      </c>
      <c r="E3" t="s">
        <v>8</v>
      </c>
      <c r="F3" t="s">
        <v>37</v>
      </c>
      <c r="G3" t="str">
        <f>ПадежФИОиРод($A3,$B3,C3)</f>
        <v>Петрова Гаврилу Михайловича</v>
      </c>
      <c r="H3" t="str">
        <f>ПадежФИОиРод($A3,$B3,3)</f>
        <v>Петрову Гавриле Михайловичу</v>
      </c>
    </row>
    <row r="4" spans="1:8" x14ac:dyDescent="0.25">
      <c r="A4" t="s">
        <v>1</v>
      </c>
      <c r="C4" s="1">
        <v>4</v>
      </c>
      <c r="E4" t="s">
        <v>9</v>
      </c>
      <c r="F4" t="s">
        <v>38</v>
      </c>
      <c r="G4" t="str">
        <f>ПадежДолж(A4,C4)</f>
        <v>Главного инженера</v>
      </c>
    </row>
    <row r="5" spans="1:8" x14ac:dyDescent="0.25">
      <c r="A5" t="s">
        <v>2</v>
      </c>
      <c r="C5" s="1">
        <v>5</v>
      </c>
      <c r="E5" t="s">
        <v>10</v>
      </c>
      <c r="F5" t="s">
        <v>39</v>
      </c>
      <c r="G5" t="str">
        <f>ПадежПодр(A5,C5)</f>
        <v>Заводом</v>
      </c>
    </row>
    <row r="6" spans="1:8" x14ac:dyDescent="0.25">
      <c r="C6" s="1">
        <v>6</v>
      </c>
      <c r="E6" t="s">
        <v>11</v>
      </c>
      <c r="F6" t="s">
        <v>40</v>
      </c>
      <c r="G6" t="str">
        <f>ПадежПолнДолж(A4,A5,C6)</f>
        <v>Главном инженере завода</v>
      </c>
    </row>
    <row r="7" spans="1:8" x14ac:dyDescent="0.25">
      <c r="A7" t="s">
        <v>4</v>
      </c>
      <c r="E7" t="s">
        <v>12</v>
      </c>
      <c r="F7" t="s">
        <v>41</v>
      </c>
      <c r="G7" t="str">
        <f>ИменительныйИзПадежа(A7)</f>
        <v>Иванов Иван Иванович</v>
      </c>
    </row>
    <row r="8" spans="1:8" x14ac:dyDescent="0.25">
      <c r="E8" t="s">
        <v>18</v>
      </c>
      <c r="F8" t="s">
        <v>34</v>
      </c>
      <c r="G8" t="str">
        <f>Словарь()</f>
        <v>D:\DevelopXE\Declension\except.dic</v>
      </c>
    </row>
    <row r="9" spans="1:8" x14ac:dyDescent="0.25">
      <c r="E9" t="s">
        <v>20</v>
      </c>
      <c r="F9" t="s">
        <v>35</v>
      </c>
      <c r="G9" t="e">
        <f>КаталогISO()</f>
        <v>#VALUE!</v>
      </c>
    </row>
    <row r="10" spans="1:8" x14ac:dyDescent="0.25">
      <c r="A10" t="s">
        <v>21</v>
      </c>
      <c r="E10" t="s">
        <v>24</v>
      </c>
      <c r="F10" t="s">
        <v>42</v>
      </c>
      <c r="G10" t="e">
        <f>НаименованиеВалюты(A10)</f>
        <v>#VALUE!</v>
      </c>
    </row>
    <row r="11" spans="1:8" x14ac:dyDescent="0.25">
      <c r="A11" t="s">
        <v>23</v>
      </c>
      <c r="B11" s="1">
        <v>0</v>
      </c>
      <c r="C11" s="1">
        <v>3</v>
      </c>
      <c r="E11" t="s">
        <v>22</v>
      </c>
      <c r="F11" t="s">
        <v>43</v>
      </c>
      <c r="G11" t="str">
        <f>ПадежЧислительного(A11,C11,B11,FALSE, FALSE )</f>
        <v>ста двадцати пяти и десяти сотым</v>
      </c>
    </row>
    <row r="12" spans="1:8" x14ac:dyDescent="0.25">
      <c r="A12">
        <v>125.45</v>
      </c>
      <c r="C12" s="1">
        <v>2</v>
      </c>
      <c r="D12" s="1">
        <v>1</v>
      </c>
      <c r="E12" t="s">
        <v>25</v>
      </c>
      <c r="F12" t="s">
        <v>44</v>
      </c>
      <c r="G12" t="str">
        <f>ПадежВалюты(A12,A10,C12,D12)</f>
        <v>125 (ста двадцати пяти) российских рублей 45 копеек</v>
      </c>
    </row>
    <row r="13" spans="1:8" x14ac:dyDescent="0.25">
      <c r="A13" s="4">
        <v>154.00049999999999</v>
      </c>
      <c r="B13" s="1">
        <v>0</v>
      </c>
      <c r="E13" t="s">
        <v>29</v>
      </c>
      <c r="F13" t="s">
        <v>45</v>
      </c>
      <c r="G13" t="str">
        <f>ЧислоПрописьюСтр(A13,B13,8,TRUE,FALSE)</f>
        <v>сто пятьдесят четыре и 5 десятитысячных</v>
      </c>
    </row>
    <row r="14" spans="1:8" x14ac:dyDescent="0.25">
      <c r="A14" s="5" t="s">
        <v>30</v>
      </c>
      <c r="B14" s="1">
        <v>0</v>
      </c>
      <c r="E14" t="s">
        <v>29</v>
      </c>
      <c r="G14" t="str">
        <f>ЧислоПрописьюСтр(A14,B14,8,TRUE,FALSE)</f>
        <v>сто пятьдесят четыре и 5 десятитысячных</v>
      </c>
    </row>
    <row r="15" spans="1:8" x14ac:dyDescent="0.25">
      <c r="A15" s="4">
        <v>123.25</v>
      </c>
      <c r="B15" s="1">
        <v>0</v>
      </c>
      <c r="E15" t="s">
        <v>31</v>
      </c>
      <c r="F15" t="s">
        <v>28</v>
      </c>
      <c r="G15" t="str">
        <f>ЧислоПрописью(A15,B15,5,TRUE,FALSE)</f>
        <v>сто двадцать три и 25 сотых</v>
      </c>
    </row>
    <row r="16" spans="1:8" x14ac:dyDescent="0.25">
      <c r="A16" s="4" t="s">
        <v>30</v>
      </c>
      <c r="B16" s="1">
        <v>0</v>
      </c>
      <c r="E16" t="s">
        <v>31</v>
      </c>
      <c r="G16" t="str">
        <f>ЧислоПрописью(A16,B16,5,TRUE,FALSE)</f>
        <v>сто пятьдесят четыре и 5 десятитысячных</v>
      </c>
    </row>
    <row r="17" spans="1:7" x14ac:dyDescent="0.25">
      <c r="A17" s="4">
        <v>123.25</v>
      </c>
      <c r="E17" t="s">
        <v>32</v>
      </c>
      <c r="F17" t="s">
        <v>27</v>
      </c>
      <c r="G17" t="str">
        <f>ЧислоВСтроку(A17)</f>
        <v>сто двадцать три целые и двадцать пять сотых</v>
      </c>
    </row>
    <row r="18" spans="1:7" x14ac:dyDescent="0.25">
      <c r="A18" s="5" t="s">
        <v>30</v>
      </c>
      <c r="E18" t="s">
        <v>32</v>
      </c>
      <c r="G18" t="str">
        <f>ЧислоВСтроку(A18)</f>
        <v>сто пятьдесят четыре целые и пять десятитысячных</v>
      </c>
    </row>
    <row r="19" spans="1:7" x14ac:dyDescent="0.25">
      <c r="A19" s="4"/>
    </row>
    <row r="21" spans="1:7" x14ac:dyDescent="0.25">
      <c r="A21" s="3" t="s">
        <v>17</v>
      </c>
    </row>
    <row r="22" spans="1:7" x14ac:dyDescent="0.25">
      <c r="A22" t="s">
        <v>14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G47"/>
  <sheetViews>
    <sheetView topLeftCell="A36" workbookViewId="0">
      <selection activeCell="B46" sqref="B46:B47"/>
    </sheetView>
  </sheetViews>
  <sheetFormatPr defaultRowHeight="15" x14ac:dyDescent="0.25"/>
  <cols>
    <col min="1" max="1" width="9.140625" style="6"/>
    <col min="2" max="2" width="44.42578125" style="6" customWidth="1"/>
    <col min="3" max="3" width="36.42578125" style="6" customWidth="1"/>
    <col min="4" max="7" width="32.28515625" style="6" customWidth="1"/>
    <col min="8" max="16384" width="9.140625" style="6"/>
  </cols>
  <sheetData>
    <row r="2" spans="2:7" x14ac:dyDescent="0.25">
      <c r="B2" s="6" t="s">
        <v>91</v>
      </c>
      <c r="C2" s="6">
        <v>2</v>
      </c>
      <c r="D2" s="6">
        <v>3</v>
      </c>
      <c r="E2" s="6">
        <v>4</v>
      </c>
      <c r="F2" s="6">
        <v>5</v>
      </c>
      <c r="G2" s="6">
        <v>6</v>
      </c>
    </row>
    <row r="3" spans="2:7" ht="30" x14ac:dyDescent="0.25">
      <c r="B3" s="6" t="s">
        <v>46</v>
      </c>
      <c r="C3" s="6" t="str">
        <f>ПадежФИО($B3,C$2)</f>
        <v>Пушкина Александра Сергеевича</v>
      </c>
      <c r="D3" s="6" t="str">
        <f t="shared" ref="D3:G18" si="0">ПадежФИО($B3,D$2)</f>
        <v>Пушкину Александру Сергеевичу</v>
      </c>
      <c r="E3" s="6" t="str">
        <f t="shared" si="0"/>
        <v>Пушкина Александра Сергеевича</v>
      </c>
      <c r="F3" s="6" t="str">
        <f t="shared" si="0"/>
        <v>Пушкиным Александром Сергеевичем</v>
      </c>
      <c r="G3" s="6" t="str">
        <f t="shared" si="0"/>
        <v>Пушкине Александре Сергеевиче</v>
      </c>
    </row>
    <row r="4" spans="2:7" ht="30" x14ac:dyDescent="0.25">
      <c r="B4" s="6" t="s">
        <v>47</v>
      </c>
      <c r="C4" s="6" t="str">
        <f>ПадежФИО($B4,C$2)</f>
        <v>Высоцкого Владимира Семеновича</v>
      </c>
      <c r="D4" s="6" t="str">
        <f t="shared" si="0"/>
        <v>Высоцкому Владимиру Семеновичу</v>
      </c>
      <c r="E4" s="6" t="str">
        <f t="shared" si="0"/>
        <v>Высоцкого Владимира Семеновича</v>
      </c>
      <c r="F4" s="6" t="str">
        <f t="shared" si="0"/>
        <v>Высоцким Владимиром Семеновичем</v>
      </c>
      <c r="G4" s="6" t="str">
        <f t="shared" si="0"/>
        <v>Высоцком Владимире Семеновиче</v>
      </c>
    </row>
    <row r="5" spans="2:7" ht="30" x14ac:dyDescent="0.25">
      <c r="B5" s="6" t="s">
        <v>48</v>
      </c>
      <c r="C5" s="6" t="str">
        <f>ПадежФИО($B5,C$2)</f>
        <v>Клинцева Виктора Григорьевича</v>
      </c>
      <c r="D5" s="6" t="str">
        <f t="shared" si="0"/>
        <v>Клинцеву Виктору Григорьевичу</v>
      </c>
      <c r="E5" s="6" t="str">
        <f t="shared" si="0"/>
        <v>Клинцева Виктора Григорьевича</v>
      </c>
      <c r="F5" s="6" t="str">
        <f t="shared" si="0"/>
        <v>Клинцевым Виктором Григорьевичем</v>
      </c>
      <c r="G5" s="6" t="str">
        <f t="shared" si="0"/>
        <v>Клинцеве Викторе Григорьевиче</v>
      </c>
    </row>
    <row r="6" spans="2:7" x14ac:dyDescent="0.25">
      <c r="B6" s="6" t="s">
        <v>49</v>
      </c>
      <c r="C6" s="6" t="str">
        <f>ПадежФИО($B6,C$2)</f>
        <v>Иванова Сидора Петровича</v>
      </c>
      <c r="D6" s="6" t="str">
        <f t="shared" si="0"/>
        <v>Иванову Сидору Петровичу</v>
      </c>
      <c r="E6" s="6" t="str">
        <f t="shared" si="0"/>
        <v>Иванова Сидора Петровича</v>
      </c>
      <c r="F6" s="6" t="str">
        <f t="shared" si="0"/>
        <v>Ивановым Сидором Петровичем</v>
      </c>
      <c r="G6" s="6" t="str">
        <f t="shared" si="0"/>
        <v>Иванове Сидоре Петровиче</v>
      </c>
    </row>
    <row r="7" spans="2:7" ht="30" x14ac:dyDescent="0.25">
      <c r="B7" s="6" t="s">
        <v>50</v>
      </c>
      <c r="C7" s="6" t="str">
        <f t="shared" ref="C7:G47" si="1">ПадежФИО($B7,C$2)</f>
        <v>Ломоносова Михайлы Васильевича</v>
      </c>
      <c r="D7" s="6" t="str">
        <f t="shared" si="0"/>
        <v>Ломоносову Михайле Васильевичу</v>
      </c>
      <c r="E7" s="6" t="str">
        <f t="shared" si="0"/>
        <v>Ломоносова Михайлу Васильевича</v>
      </c>
      <c r="F7" s="6" t="str">
        <f t="shared" si="0"/>
        <v>Ломоносовым Михайлой Васильевичем</v>
      </c>
      <c r="G7" s="6" t="str">
        <f t="shared" si="0"/>
        <v>Ломоносове Михайле Васильевиче</v>
      </c>
    </row>
    <row r="8" spans="2:7" x14ac:dyDescent="0.25">
      <c r="B8" s="6" t="s">
        <v>51</v>
      </c>
      <c r="C8" s="6" t="str">
        <f t="shared" si="1"/>
        <v>Мицкевич Марии Михайловны</v>
      </c>
      <c r="D8" s="6" t="str">
        <f t="shared" si="0"/>
        <v>Мицкевич Марии Михайловне</v>
      </c>
      <c r="E8" s="6" t="str">
        <f t="shared" si="0"/>
        <v>Мицкевич Марию Михайловну</v>
      </c>
      <c r="F8" s="6" t="str">
        <f t="shared" si="0"/>
        <v>Мицкевич Марией Михайловной</v>
      </c>
      <c r="G8" s="6" t="str">
        <f t="shared" si="0"/>
        <v>Мицкевич Марии Михайловне</v>
      </c>
    </row>
    <row r="9" spans="2:7" x14ac:dyDescent="0.25">
      <c r="B9" s="6" t="s">
        <v>52</v>
      </c>
      <c r="C9" s="6" t="str">
        <f t="shared" si="1"/>
        <v>Хитрово Николая Захаровича</v>
      </c>
      <c r="D9" s="6" t="str">
        <f t="shared" si="0"/>
        <v>Хитрово Николаю Захаровичу</v>
      </c>
      <c r="E9" s="6" t="str">
        <f t="shared" si="0"/>
        <v>Хитрово Николая Захаровича</v>
      </c>
      <c r="F9" s="6" t="str">
        <f t="shared" si="0"/>
        <v>Хитрово Николаем Захаровичем</v>
      </c>
      <c r="G9" s="6" t="str">
        <f t="shared" si="0"/>
        <v>Хитрово Николае Захаровиче</v>
      </c>
    </row>
    <row r="10" spans="2:7" ht="30" x14ac:dyDescent="0.25">
      <c r="B10" s="6" t="s">
        <v>53</v>
      </c>
      <c r="C10" s="6" t="str">
        <f t="shared" si="1"/>
        <v>Польских Галины Александровны</v>
      </c>
      <c r="D10" s="6" t="str">
        <f t="shared" si="0"/>
        <v>Польских Галине Александровне</v>
      </c>
      <c r="E10" s="6" t="str">
        <f t="shared" si="0"/>
        <v>Польских Галину Александровну</v>
      </c>
      <c r="F10" s="6" t="str">
        <f t="shared" si="0"/>
        <v>Польских Галиной Александровной</v>
      </c>
      <c r="G10" s="6" t="str">
        <f t="shared" si="0"/>
        <v>Польских Галине Александровне</v>
      </c>
    </row>
    <row r="11" spans="2:7" ht="30" x14ac:dyDescent="0.25">
      <c r="B11" s="6" t="s">
        <v>54</v>
      </c>
      <c r="C11" s="6" t="str">
        <f t="shared" si="1"/>
        <v>Черни-Стефаньской Галины Станиславовны</v>
      </c>
      <c r="D11" s="6" t="str">
        <f t="shared" si="0"/>
        <v>Черни-Стефаньской Галине Станиславовне</v>
      </c>
      <c r="E11" s="6" t="str">
        <f t="shared" si="0"/>
        <v>Черни-Стефаньскую Галину Станиславовну</v>
      </c>
      <c r="F11" s="6" t="str">
        <f t="shared" si="0"/>
        <v>Черни-Стефаньской Галиной Станиславовной</v>
      </c>
      <c r="G11" s="6" t="str">
        <f t="shared" si="0"/>
        <v>Черни-Стефаньской Галине Станиславовне</v>
      </c>
    </row>
    <row r="12" spans="2:7" ht="30" x14ac:dyDescent="0.25">
      <c r="B12" s="6" t="s">
        <v>55</v>
      </c>
      <c r="C12" s="6" t="str">
        <f t="shared" si="1"/>
        <v>Гоголя Николая Васильевича</v>
      </c>
      <c r="D12" s="6" t="str">
        <f t="shared" si="0"/>
        <v>Гоголю Николаю Васильевичу</v>
      </c>
      <c r="E12" s="6" t="str">
        <f t="shared" si="0"/>
        <v>Гоголя Николая Васильевича</v>
      </c>
      <c r="F12" s="6" t="str">
        <f t="shared" si="0"/>
        <v>Гоголем Николаем Васильевичем</v>
      </c>
      <c r="G12" s="6" t="str">
        <f t="shared" si="0"/>
        <v>Гоголе Николае Васильевиче</v>
      </c>
    </row>
    <row r="13" spans="2:7" ht="30" x14ac:dyDescent="0.25">
      <c r="B13" s="6" t="s">
        <v>56</v>
      </c>
      <c r="C13" s="6" t="str">
        <f t="shared" si="1"/>
        <v>Мексиканца Виталия Петровича</v>
      </c>
      <c r="D13" s="6" t="str">
        <f t="shared" si="0"/>
        <v>Мексиканцу Виталию Петровичу</v>
      </c>
      <c r="E13" s="6" t="str">
        <f t="shared" si="0"/>
        <v>Мексиканца Виталия Петровича</v>
      </c>
      <c r="F13" s="6" t="str">
        <f t="shared" si="0"/>
        <v>Мексиканцем Виталием Петровичем</v>
      </c>
      <c r="G13" s="6" t="str">
        <f t="shared" si="0"/>
        <v>Мексиканце Виталии Петровиче</v>
      </c>
    </row>
    <row r="14" spans="2:7" x14ac:dyDescent="0.25">
      <c r="B14" s="6" t="s">
        <v>57</v>
      </c>
      <c r="C14" s="6" t="str">
        <f t="shared" si="1"/>
        <v>Слизки Любови Викторовны</v>
      </c>
      <c r="D14" s="6" t="str">
        <f t="shared" si="0"/>
        <v>Слизке Любови Викторовне</v>
      </c>
      <c r="E14" s="6" t="str">
        <f t="shared" si="0"/>
        <v>Слизку Любовь Викторовну</v>
      </c>
      <c r="F14" s="6" t="str">
        <f t="shared" si="0"/>
        <v>Слизкой Любовью Викторовной</v>
      </c>
      <c r="G14" s="6" t="str">
        <f t="shared" si="0"/>
        <v>Слизке Любови Викторовне</v>
      </c>
    </row>
    <row r="15" spans="2:7" x14ac:dyDescent="0.25">
      <c r="B15" s="6" t="s">
        <v>58</v>
      </c>
      <c r="C15" s="6" t="str">
        <f t="shared" si="1"/>
        <v>Чиковани Татьяны Кимовны</v>
      </c>
      <c r="D15" s="6" t="str">
        <f t="shared" si="0"/>
        <v>Чиковани Татьяне Кимовне</v>
      </c>
      <c r="E15" s="6" t="str">
        <f t="shared" si="0"/>
        <v>Чиковани Татьяну Кимовну</v>
      </c>
      <c r="F15" s="6" t="str">
        <f t="shared" si="0"/>
        <v>Чиковани Татьяной Кимовной</v>
      </c>
      <c r="G15" s="6" t="str">
        <f t="shared" si="0"/>
        <v>Чиковани Татьяне Кимовне</v>
      </c>
    </row>
    <row r="16" spans="2:7" ht="30" x14ac:dyDescent="0.25">
      <c r="B16" s="6" t="s">
        <v>59</v>
      </c>
      <c r="C16" s="6" t="str">
        <f t="shared" si="1"/>
        <v>Тер-Иванова Вильяма Карловича</v>
      </c>
      <c r="D16" s="6" t="str">
        <f t="shared" si="0"/>
        <v>Тер-Иванову Вильяму Карловичу</v>
      </c>
      <c r="E16" s="6" t="str">
        <f t="shared" si="0"/>
        <v>Тер-Иванова Вильяма Карловича</v>
      </c>
      <c r="F16" s="6" t="str">
        <f t="shared" si="0"/>
        <v>Тер-Ивановым Вильямом Карловичем</v>
      </c>
      <c r="G16" s="6" t="str">
        <f t="shared" si="0"/>
        <v>Тер-Иванове Вильяме Карловиче</v>
      </c>
    </row>
    <row r="17" spans="2:7" x14ac:dyDescent="0.25">
      <c r="B17" s="6" t="s">
        <v>60</v>
      </c>
      <c r="C17" s="6" t="str">
        <f t="shared" si="1"/>
        <v>Онука Сергея Викторовича</v>
      </c>
      <c r="D17" s="6" t="str">
        <f t="shared" si="0"/>
        <v>Онуку Сергею Викторовичу</v>
      </c>
      <c r="E17" s="6" t="str">
        <f t="shared" si="0"/>
        <v>Онука Сергея Викторовича</v>
      </c>
      <c r="F17" s="6" t="str">
        <f t="shared" si="0"/>
        <v>Онуком Сергеем Викторовичем</v>
      </c>
      <c r="G17" s="6" t="str">
        <f t="shared" si="0"/>
        <v>Онуке Сергее Викторовиче</v>
      </c>
    </row>
    <row r="18" spans="2:7" x14ac:dyDescent="0.25">
      <c r="B18" s="6" t="s">
        <v>61</v>
      </c>
      <c r="C18" s="6" t="str">
        <f t="shared" si="1"/>
        <v>Ены Виталия Николаевича</v>
      </c>
      <c r="D18" s="6" t="str">
        <f t="shared" si="0"/>
        <v>Ене Виталию Николаевичу</v>
      </c>
      <c r="E18" s="6" t="str">
        <f t="shared" si="0"/>
        <v>Ену Виталия Николаевича</v>
      </c>
      <c r="F18" s="6" t="str">
        <f t="shared" si="0"/>
        <v>Еной Виталием Николаевичем</v>
      </c>
      <c r="G18" s="6" t="str">
        <f t="shared" si="0"/>
        <v>Ене Виталии Николаевиче</v>
      </c>
    </row>
    <row r="19" spans="2:7" ht="30" x14ac:dyDescent="0.25">
      <c r="B19" s="6" t="s">
        <v>62</v>
      </c>
      <c r="C19" s="6" t="str">
        <f t="shared" si="1"/>
        <v>Ломаки Владимира Михайловича</v>
      </c>
      <c r="D19" s="6" t="str">
        <f t="shared" si="1"/>
        <v>Ломаке Владимиру Михайловичу</v>
      </c>
      <c r="E19" s="6" t="str">
        <f t="shared" si="1"/>
        <v>Ломаку Владимира Михайловича</v>
      </c>
      <c r="F19" s="6" t="str">
        <f t="shared" si="1"/>
        <v>Ломакой Владимиром Михайловичем</v>
      </c>
      <c r="G19" s="6" t="str">
        <f t="shared" si="1"/>
        <v>Ломаке Владимире Михайловиче</v>
      </c>
    </row>
    <row r="20" spans="2:7" ht="30" x14ac:dyDescent="0.25">
      <c r="B20" s="6" t="s">
        <v>63</v>
      </c>
      <c r="C20" s="6" t="str">
        <f t="shared" si="1"/>
        <v>Джугашвилли Иосифа Виссарионовича</v>
      </c>
      <c r="D20" s="6" t="str">
        <f t="shared" si="1"/>
        <v>Джугашвилли Иосифу Виссарионовичу</v>
      </c>
      <c r="E20" s="6" t="str">
        <f t="shared" si="1"/>
        <v>Джугашвилли Иосифа Виссарионовича</v>
      </c>
      <c r="F20" s="6" t="str">
        <f t="shared" si="1"/>
        <v>Джугашвилли Иосифом Виссарионовичем</v>
      </c>
      <c r="G20" s="6" t="str">
        <f t="shared" si="1"/>
        <v>Джугашвилли Иосифе Виссарионовиче</v>
      </c>
    </row>
    <row r="21" spans="2:7" ht="30" x14ac:dyDescent="0.25">
      <c r="B21" s="6" t="s">
        <v>64</v>
      </c>
      <c r="C21" s="6" t="str">
        <f t="shared" si="1"/>
        <v>Шнеперсона Исраиля Натановича</v>
      </c>
      <c r="D21" s="6" t="str">
        <f t="shared" si="1"/>
        <v>Шнеперсону Исраилю Натановичу</v>
      </c>
      <c r="E21" s="6" t="str">
        <f t="shared" si="1"/>
        <v>Шнеперсона Исраиля Натановича</v>
      </c>
      <c r="F21" s="6" t="str">
        <f t="shared" si="1"/>
        <v>Шнеперсоном Исраилем Натановичем</v>
      </c>
      <c r="G21" s="6" t="str">
        <f t="shared" si="1"/>
        <v>Шнеперсоне Исраиле Натановиче</v>
      </c>
    </row>
    <row r="22" spans="2:7" x14ac:dyDescent="0.25">
      <c r="B22" s="6" t="s">
        <v>65</v>
      </c>
      <c r="C22" s="6" t="str">
        <f t="shared" si="1"/>
        <v>Чирвы Николь Петровны</v>
      </c>
      <c r="D22" s="6" t="str">
        <f t="shared" si="1"/>
        <v>Чирве Николь Петровне</v>
      </c>
      <c r="E22" s="6" t="str">
        <f t="shared" si="1"/>
        <v>Чирву Николь Петровну</v>
      </c>
      <c r="F22" s="6" t="str">
        <f t="shared" si="1"/>
        <v>Чирвой Николь Петровной</v>
      </c>
      <c r="G22" s="6" t="str">
        <f t="shared" si="1"/>
        <v>Чирве Николь Петровне</v>
      </c>
    </row>
    <row r="23" spans="2:7" ht="30" x14ac:dyDescent="0.25">
      <c r="B23" s="6" t="s">
        <v>66</v>
      </c>
      <c r="C23" s="6" t="str">
        <f t="shared" si="1"/>
        <v>Гамзатовой Гюльчетай Рустамовны</v>
      </c>
      <c r="D23" s="6" t="str">
        <f t="shared" si="1"/>
        <v>Гамзатовой Гюльчетай Рустамовне</v>
      </c>
      <c r="E23" s="6" t="str">
        <f t="shared" si="1"/>
        <v>Гамзатову Гюльчетай Рустамовну</v>
      </c>
      <c r="F23" s="6" t="str">
        <f t="shared" si="1"/>
        <v>Гамзатовой Гюльчетай Рустамовной</v>
      </c>
      <c r="G23" s="6" t="str">
        <f t="shared" si="1"/>
        <v>Гамзатовой Гюльчетай Рустамовне</v>
      </c>
    </row>
    <row r="24" spans="2:7" ht="30" x14ac:dyDescent="0.25">
      <c r="B24" s="6" t="s">
        <v>67</v>
      </c>
      <c r="C24" s="6" t="str">
        <f t="shared" si="1"/>
        <v>Галяутдиновой Альфии Абдуллаевны</v>
      </c>
      <c r="D24" s="6" t="str">
        <f t="shared" si="1"/>
        <v>Галяутдиновой Альфие Абдуллаевне</v>
      </c>
      <c r="E24" s="6" t="str">
        <f t="shared" si="1"/>
        <v>Галяутдинову Альфию Абдуллаевну</v>
      </c>
      <c r="F24" s="6" t="str">
        <f t="shared" si="1"/>
        <v>Галяутдиновой Альфией Абдуллаевной</v>
      </c>
      <c r="G24" s="6" t="str">
        <f t="shared" si="1"/>
        <v>Галяутдиновой Альфие Абдуллаевне</v>
      </c>
    </row>
    <row r="25" spans="2:7" ht="30" x14ac:dyDescent="0.25">
      <c r="B25" s="6" t="s">
        <v>68</v>
      </c>
      <c r="C25" s="6" t="str">
        <f t="shared" si="1"/>
        <v>Надояна Гришы Сережаевича</v>
      </c>
      <c r="D25" s="6" t="str">
        <f t="shared" si="1"/>
        <v>Надояну Грише Сережаевичу</v>
      </c>
      <c r="E25" s="6" t="str">
        <f t="shared" si="1"/>
        <v>Надояна Гришу Сережаевича</v>
      </c>
      <c r="F25" s="6" t="str">
        <f t="shared" si="1"/>
        <v>Надояном Гришей Сережаевичем</v>
      </c>
      <c r="G25" s="6" t="str">
        <f t="shared" si="1"/>
        <v>Надояне Грише Сережаевиче</v>
      </c>
    </row>
    <row r="26" spans="2:7" ht="30" x14ac:dyDescent="0.25">
      <c r="B26" s="6" t="s">
        <v>69</v>
      </c>
      <c r="C26" s="6" t="str">
        <f t="shared" si="1"/>
        <v>Мукамаева Мишы Давлетяновича</v>
      </c>
      <c r="D26" s="6" t="str">
        <f t="shared" si="1"/>
        <v>Мукамаеву Мише Давлетяновичу</v>
      </c>
      <c r="E26" s="6" t="str">
        <f t="shared" si="1"/>
        <v>Мукамаева Мишу Давлетяновича</v>
      </c>
      <c r="F26" s="6" t="str">
        <f t="shared" si="1"/>
        <v>Мукамаевым Мишей Давлетяновичем</v>
      </c>
      <c r="G26" s="6" t="str">
        <f t="shared" si="1"/>
        <v>Мукамаеве Мише Давлетяновиче</v>
      </c>
    </row>
    <row r="27" spans="2:7" x14ac:dyDescent="0.25">
      <c r="B27" s="6" t="s">
        <v>70</v>
      </c>
      <c r="C27" s="6" t="str">
        <f t="shared" si="1"/>
        <v>Пыкши Татьяны Николаевны</v>
      </c>
      <c r="D27" s="6" t="str">
        <f t="shared" si="1"/>
        <v>Пыкше Татьяне Николаевне</v>
      </c>
      <c r="E27" s="6" t="str">
        <f t="shared" si="1"/>
        <v>Пыкшу Татьяну Николаевну</v>
      </c>
      <c r="F27" s="6" t="str">
        <f t="shared" si="1"/>
        <v>Пыкшей Татьяной Николаевной</v>
      </c>
      <c r="G27" s="6" t="str">
        <f t="shared" si="1"/>
        <v>Пыкше Татьяне Николаевне</v>
      </c>
    </row>
    <row r="28" spans="2:7" ht="30" x14ac:dyDescent="0.25">
      <c r="B28" s="6" t="s">
        <v>71</v>
      </c>
      <c r="C28" s="6" t="str">
        <f t="shared" si="1"/>
        <v>Шайхаттаровой Муляуши Ирфановны</v>
      </c>
      <c r="D28" s="6" t="str">
        <f t="shared" si="1"/>
        <v>Шайхаттаровой Муляуше Ирфановне</v>
      </c>
      <c r="E28" s="6" t="str">
        <f t="shared" si="1"/>
        <v>Шайхаттарову Муляушу Ирфановну</v>
      </c>
      <c r="F28" s="6" t="str">
        <f t="shared" si="1"/>
        <v>Шайхаттаровой Муляушей Ирфановной</v>
      </c>
      <c r="G28" s="6" t="str">
        <f t="shared" si="1"/>
        <v>Шайхаттаровой Муляуше Ирфановне</v>
      </c>
    </row>
    <row r="29" spans="2:7" ht="30" x14ac:dyDescent="0.25">
      <c r="B29" s="6" t="s">
        <v>72</v>
      </c>
      <c r="C29" s="6" t="str">
        <f t="shared" si="1"/>
        <v>Фазлыевой Айгули Нурулловны</v>
      </c>
      <c r="D29" s="6" t="str">
        <f t="shared" si="1"/>
        <v>Фазлыевой Айгули Нурулловне</v>
      </c>
      <c r="E29" s="6" t="str">
        <f t="shared" si="1"/>
        <v>Фазлыеву Айгуль Нурулловну</v>
      </c>
      <c r="F29" s="6" t="str">
        <f t="shared" si="1"/>
        <v>Фазлыевой Айгулью Нурулловной</v>
      </c>
      <c r="G29" s="6" t="str">
        <f t="shared" si="1"/>
        <v>Фазлыевой Айгули Нурулловне</v>
      </c>
    </row>
    <row r="30" spans="2:7" x14ac:dyDescent="0.25">
      <c r="B30" s="6" t="s">
        <v>73</v>
      </c>
      <c r="C30" s="6" t="str">
        <f t="shared" si="1"/>
        <v>Дивова Байрама Аскер Оглы</v>
      </c>
      <c r="D30" s="6" t="str">
        <f t="shared" si="1"/>
        <v>Дивову Байраму Аскер Оглы</v>
      </c>
      <c r="E30" s="6" t="str">
        <f t="shared" si="1"/>
        <v>Дивова Байрама Аскер Оглы</v>
      </c>
      <c r="F30" s="6" t="str">
        <f t="shared" si="1"/>
        <v>Дивовым Байрамом Аскер Оглы</v>
      </c>
      <c r="G30" s="6" t="str">
        <f t="shared" si="1"/>
        <v>Дивове Байраме Аскер Оглы</v>
      </c>
    </row>
    <row r="31" spans="2:7" ht="30" x14ac:dyDescent="0.25">
      <c r="B31" s="6" t="s">
        <v>74</v>
      </c>
      <c r="C31" s="6" t="str">
        <f t="shared" si="1"/>
        <v>Аскер-Али-Pаде Адиля Тофик Оглы</v>
      </c>
      <c r="D31" s="6" t="str">
        <f t="shared" si="1"/>
        <v>Аскер-Али-Pаде Адилю Тофик Оглы</v>
      </c>
      <c r="E31" s="6" t="str">
        <f t="shared" si="1"/>
        <v>Аскер-Али-Pаде Адиля Тофик Оглы</v>
      </c>
      <c r="F31" s="6" t="str">
        <f t="shared" si="1"/>
        <v>Аскер-Али-Pаде Адилем Тофик Оглы</v>
      </c>
      <c r="G31" s="6" t="str">
        <f t="shared" si="1"/>
        <v>Аскер-Али-Pаде Адиле Тофик Оглы</v>
      </c>
    </row>
    <row r="32" spans="2:7" x14ac:dyDescent="0.25">
      <c r="B32" s="6" t="s">
        <v>75</v>
      </c>
      <c r="C32" s="6" t="str">
        <f t="shared" si="1"/>
        <v>Давлетовой Зульфии Нияз Кызы</v>
      </c>
      <c r="D32" s="6" t="str">
        <f t="shared" si="1"/>
        <v>Давлетовой Зульфие Нияз Кызы</v>
      </c>
      <c r="E32" s="6" t="str">
        <f t="shared" si="1"/>
        <v>Давлетову Зульфию Нияз Кызы</v>
      </c>
      <c r="F32" s="6" t="str">
        <f t="shared" si="1"/>
        <v>Давлетовой Зульфией Нияз Кызы</v>
      </c>
      <c r="G32" s="6" t="str">
        <f t="shared" si="1"/>
        <v>Давлетовой Зульфие Нияз Кызы</v>
      </c>
    </row>
    <row r="33" spans="2:7" ht="45" x14ac:dyDescent="0.25">
      <c r="B33" s="6" t="s">
        <v>76</v>
      </c>
      <c r="C33" s="6" t="str">
        <f t="shared" si="1"/>
        <v>Уткина-Краматорского-Задунайского Гаврилы Васильевича</v>
      </c>
      <c r="D33" s="6" t="str">
        <f t="shared" si="1"/>
        <v>Уткину-Краматорскому-Задунайскому Гавриле Васильевичу</v>
      </c>
      <c r="E33" s="6" t="str">
        <f t="shared" si="1"/>
        <v>Уткина-Краматорского-Задунайского Гаврилу Васильевича</v>
      </c>
      <c r="F33" s="6" t="str">
        <f t="shared" si="1"/>
        <v>Уткином-Краматорским-Задунайским Гаврилой Васильевичем</v>
      </c>
      <c r="G33" s="6" t="str">
        <f t="shared" si="1"/>
        <v>Уткине-Краматорском-Задунайском Гавриле Васильевиче</v>
      </c>
    </row>
    <row r="34" spans="2:7" x14ac:dyDescent="0.25">
      <c r="B34" s="6" t="s">
        <v>77</v>
      </c>
      <c r="C34" s="6" t="str">
        <f t="shared" si="1"/>
        <v>Амбарцумяна Карена Грачи</v>
      </c>
      <c r="D34" s="6" t="str">
        <f t="shared" si="1"/>
        <v>Амбарцумяну Карену Грачи</v>
      </c>
      <c r="E34" s="6" t="str">
        <f t="shared" si="1"/>
        <v>Амбарцумяна Карена Грачи</v>
      </c>
      <c r="F34" s="6" t="str">
        <f t="shared" si="1"/>
        <v>Амбарцумяном Кареном Грачи</v>
      </c>
      <c r="G34" s="6" t="str">
        <f t="shared" si="1"/>
        <v>Амбарцумяне Карене Грачи</v>
      </c>
    </row>
    <row r="35" spans="2:7" x14ac:dyDescent="0.25">
      <c r="B35" s="6" t="s">
        <v>78</v>
      </c>
      <c r="C35" s="6" t="str">
        <f t="shared" si="1"/>
        <v>Коваля Юрия Иосифовича</v>
      </c>
      <c r="D35" s="6" t="str">
        <f t="shared" si="1"/>
        <v>Ковалю Юрию Иосифовичу</v>
      </c>
      <c r="E35" s="6" t="str">
        <f t="shared" si="1"/>
        <v>Коваля Юрия Иосифовича</v>
      </c>
      <c r="F35" s="6" t="str">
        <f t="shared" si="1"/>
        <v>Ковалем Юрием Иосифовичем</v>
      </c>
      <c r="G35" s="6" t="str">
        <f t="shared" si="1"/>
        <v>Ковале Юрии Иосифовиче</v>
      </c>
    </row>
    <row r="36" spans="2:7" ht="30" x14ac:dyDescent="0.25">
      <c r="B36" s="6" t="s">
        <v>79</v>
      </c>
      <c r="C36" s="6" t="str">
        <f t="shared" si="1"/>
        <v>Добржанской Любови Ивановны</v>
      </c>
      <c r="D36" s="6" t="str">
        <f t="shared" si="1"/>
        <v>Добржанской Любови Ивановне</v>
      </c>
      <c r="E36" s="6" t="str">
        <f t="shared" si="1"/>
        <v>Добржанскую Любовь Ивановну</v>
      </c>
      <c r="F36" s="6" t="str">
        <f t="shared" si="1"/>
        <v>Добржанской Любовью Ивановной</v>
      </c>
      <c r="G36" s="6" t="str">
        <f t="shared" si="1"/>
        <v>Добржанской Любови Ивановне</v>
      </c>
    </row>
    <row r="37" spans="2:7" ht="30" x14ac:dyDescent="0.25">
      <c r="B37" s="6" t="s">
        <v>80</v>
      </c>
      <c r="C37" s="6" t="str">
        <f t="shared" si="1"/>
        <v>Виролайнен Любови Ивановны</v>
      </c>
      <c r="D37" s="6" t="str">
        <f t="shared" si="1"/>
        <v>Виролайнен Любови Ивановне</v>
      </c>
      <c r="E37" s="6" t="str">
        <f t="shared" si="1"/>
        <v>Виролайнен Любовь Ивановну</v>
      </c>
      <c r="F37" s="6" t="str">
        <f t="shared" si="1"/>
        <v>Виролайнен Любовью Ивановной</v>
      </c>
      <c r="G37" s="6" t="str">
        <f t="shared" si="1"/>
        <v>Виролайнен Любови Ивановне</v>
      </c>
    </row>
    <row r="38" spans="2:7" x14ac:dyDescent="0.25">
      <c r="B38" s="6" t="s">
        <v>81</v>
      </c>
      <c r="C38" s="6" t="str">
        <f t="shared" si="1"/>
        <v>Коваль Аллы Петровны</v>
      </c>
      <c r="D38" s="6" t="str">
        <f t="shared" si="1"/>
        <v>Коваль Алле Петровне</v>
      </c>
      <c r="E38" s="6" t="str">
        <f t="shared" si="1"/>
        <v>Коваль Аллу Петровну</v>
      </c>
      <c r="F38" s="6" t="str">
        <f t="shared" si="1"/>
        <v>Коваль Аллой Петровной</v>
      </c>
      <c r="G38" s="6" t="str">
        <f t="shared" si="1"/>
        <v>Коваль Алле Петровне</v>
      </c>
    </row>
    <row r="39" spans="2:7" x14ac:dyDescent="0.25">
      <c r="B39" s="6" t="s">
        <v>82</v>
      </c>
      <c r="C39" s="6" t="str">
        <f t="shared" si="1"/>
        <v>Иванов С П</v>
      </c>
      <c r="D39" s="6" t="str">
        <f t="shared" si="1"/>
        <v>Иванов С П</v>
      </c>
      <c r="E39" s="6" t="str">
        <f t="shared" si="1"/>
        <v>Иванов С П</v>
      </c>
      <c r="F39" s="6" t="str">
        <f t="shared" si="1"/>
        <v>Иванов С П</v>
      </c>
      <c r="G39" s="6" t="str">
        <f t="shared" si="1"/>
        <v>Иванов С П</v>
      </c>
    </row>
    <row r="40" spans="2:7" x14ac:dyDescent="0.25">
      <c r="B40" s="6" t="s">
        <v>83</v>
      </c>
      <c r="C40" s="6" t="str">
        <f t="shared" si="1"/>
        <v>Петрова Р М</v>
      </c>
      <c r="D40" s="6" t="str">
        <f t="shared" si="1"/>
        <v>Петрова Р М</v>
      </c>
      <c r="E40" s="6" t="str">
        <f t="shared" si="1"/>
        <v>Петрова Р М</v>
      </c>
      <c r="F40" s="6" t="str">
        <f t="shared" si="1"/>
        <v>Петрова Р М</v>
      </c>
      <c r="G40" s="6" t="str">
        <f t="shared" si="1"/>
        <v>Петрова Р М</v>
      </c>
    </row>
    <row r="41" spans="2:7" ht="30" x14ac:dyDescent="0.25">
      <c r="B41" s="6" t="s">
        <v>84</v>
      </c>
      <c r="C41" s="6" t="str">
        <f t="shared" si="1"/>
        <v>Шевченко Тараса Григорьевича</v>
      </c>
      <c r="D41" s="6" t="str">
        <f t="shared" si="1"/>
        <v>Шевченко Тарасу Григорьевичу</v>
      </c>
      <c r="E41" s="6" t="str">
        <f t="shared" si="1"/>
        <v>Шевченко Тараса Григорьевича</v>
      </c>
      <c r="F41" s="6" t="str">
        <f t="shared" si="1"/>
        <v>Шевченко Тарасом Григорьевичем</v>
      </c>
      <c r="G41" s="6" t="str">
        <f t="shared" si="1"/>
        <v>Шевченко Тарасе Григорьевиче</v>
      </c>
    </row>
    <row r="42" spans="2:7" ht="30" x14ac:dyDescent="0.25">
      <c r="B42" s="6" t="s">
        <v>85</v>
      </c>
      <c r="C42" s="6" t="str">
        <f t="shared" si="1"/>
        <v>Джантюрина Салим-Гирея Ахмедовича</v>
      </c>
      <c r="D42" s="6" t="str">
        <f t="shared" si="1"/>
        <v>Джантюрину Салим-Гирею Ахмедовичу</v>
      </c>
      <c r="E42" s="6" t="str">
        <f t="shared" si="1"/>
        <v>Джантюрина Салим-Гирея Ахмедовича</v>
      </c>
      <c r="F42" s="6" t="str">
        <f t="shared" si="1"/>
        <v>Джантюриным Салим-Гиреем Ахмедовичем</v>
      </c>
      <c r="G42" s="6" t="str">
        <f t="shared" si="1"/>
        <v>Джантюрине Салим-Гирее Ахмедовиче</v>
      </c>
    </row>
    <row r="43" spans="2:7" ht="30" x14ac:dyDescent="0.25">
      <c r="B43" s="6" t="s">
        <v>86</v>
      </c>
      <c r="C43" s="6" t="str">
        <f t="shared" si="1"/>
        <v>Демут-Малиновского Василия Ивановича</v>
      </c>
      <c r="D43" s="6" t="str">
        <f t="shared" si="1"/>
        <v>Демут-Малиновскому Василию Ивановичу</v>
      </c>
      <c r="E43" s="6" t="str">
        <f t="shared" si="1"/>
        <v>Демут-Малиновского Василия Ивановича</v>
      </c>
      <c r="F43" s="6" t="str">
        <f t="shared" si="1"/>
        <v>Демут-Малиновским Василием Ивановичем</v>
      </c>
      <c r="G43" s="6" t="str">
        <f t="shared" si="1"/>
        <v>Демут-Малиновском Василии Ивановиче</v>
      </c>
    </row>
    <row r="44" spans="2:7" ht="30" x14ac:dyDescent="0.25">
      <c r="B44" s="6" t="s">
        <v>53</v>
      </c>
      <c r="C44" s="6" t="str">
        <f t="shared" si="1"/>
        <v>Польских Галины Александровны</v>
      </c>
      <c r="D44" s="6" t="str">
        <f t="shared" si="1"/>
        <v>Польских Галине Александровне</v>
      </c>
      <c r="E44" s="6" t="str">
        <f t="shared" si="1"/>
        <v>Польских Галину Александровну</v>
      </c>
      <c r="F44" s="6" t="str">
        <f t="shared" si="1"/>
        <v>Польских Галиной Александровной</v>
      </c>
      <c r="G44" s="6" t="str">
        <f t="shared" si="1"/>
        <v>Польских Галине Александровне</v>
      </c>
    </row>
    <row r="45" spans="2:7" ht="30" x14ac:dyDescent="0.25">
      <c r="B45" s="6" t="s">
        <v>87</v>
      </c>
      <c r="C45" s="6" t="str">
        <f t="shared" si="1"/>
        <v>Островских Петра Евгеньевича</v>
      </c>
      <c r="D45" s="6" t="str">
        <f t="shared" si="1"/>
        <v>Островских Петру Евгеньевичу</v>
      </c>
      <c r="E45" s="6" t="str">
        <f t="shared" si="1"/>
        <v>Островских Петра Евгеньевича</v>
      </c>
      <c r="F45" s="6" t="str">
        <f t="shared" si="1"/>
        <v>Островских Петром Евгеньевичем</v>
      </c>
      <c r="G45" s="6" t="str">
        <f t="shared" si="1"/>
        <v>Островских Петре Евгеньевиче</v>
      </c>
    </row>
    <row r="46" spans="2:7" x14ac:dyDescent="0.25">
      <c r="B46" s="6" t="s">
        <v>88</v>
      </c>
      <c r="C46" s="6" t="str">
        <f t="shared" si="1"/>
        <v>Сидоров М И</v>
      </c>
      <c r="D46" s="6" t="str">
        <f t="shared" si="1"/>
        <v>Сидоров М И</v>
      </c>
      <c r="E46" s="6" t="str">
        <f t="shared" si="1"/>
        <v>Сидоров М И</v>
      </c>
      <c r="F46" s="6" t="str">
        <f t="shared" si="1"/>
        <v>Сидоров М И</v>
      </c>
      <c r="G46" s="6" t="str">
        <f t="shared" si="1"/>
        <v>Сидоров М И</v>
      </c>
    </row>
    <row r="47" spans="2:7" ht="30" x14ac:dyDescent="0.25">
      <c r="B47" s="6" t="s">
        <v>89</v>
      </c>
      <c r="C47" s="6" t="str">
        <f t="shared" si="1"/>
        <v>Дидаева Рамзана Саид-Ахмедовича</v>
      </c>
      <c r="D47" s="6" t="str">
        <f t="shared" si="1"/>
        <v>Дидаеву Рамзану Саид-Ахмедовичу</v>
      </c>
      <c r="E47" s="6" t="str">
        <f t="shared" si="1"/>
        <v>Дидаева Рамзана Саид-Ахмедовича</v>
      </c>
      <c r="F47" s="6" t="str">
        <f t="shared" si="1"/>
        <v>Дидаевым Рамзаном Саид-Ахмедовичем</v>
      </c>
      <c r="G47" s="6" t="str">
        <f t="shared" si="1"/>
        <v>Дидаеве Рамзане Саид-Ахмедовиче</v>
      </c>
    </row>
  </sheetData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G47"/>
  <sheetViews>
    <sheetView tabSelected="1" topLeftCell="C1" workbookViewId="0">
      <selection activeCell="G5" sqref="G5"/>
    </sheetView>
  </sheetViews>
  <sheetFormatPr defaultRowHeight="15" x14ac:dyDescent="0.25"/>
  <cols>
    <col min="1" max="1" width="9.140625" style="6"/>
    <col min="2" max="2" width="44.42578125" style="6" customWidth="1"/>
    <col min="3" max="3" width="4.140625" style="6" bestFit="1" customWidth="1"/>
    <col min="4" max="4" width="22.5703125" style="6" customWidth="1"/>
    <col min="5" max="5" width="31.140625" style="6" bestFit="1" customWidth="1"/>
    <col min="6" max="6" width="17.28515625" style="7" customWidth="1"/>
    <col min="7" max="7" width="71.140625" style="6" customWidth="1"/>
    <col min="8" max="10" width="32.28515625" style="6" customWidth="1"/>
    <col min="11" max="16384" width="9.140625" style="6"/>
  </cols>
  <sheetData>
    <row r="2" spans="2:7" ht="30" x14ac:dyDescent="0.25">
      <c r="B2" s="6" t="s">
        <v>91</v>
      </c>
      <c r="C2" s="6" t="s">
        <v>15</v>
      </c>
      <c r="D2" s="6" t="s">
        <v>92</v>
      </c>
      <c r="E2" s="6" t="s">
        <v>93</v>
      </c>
      <c r="F2" s="7" t="s">
        <v>144</v>
      </c>
      <c r="G2" s="6" t="s">
        <v>145</v>
      </c>
    </row>
    <row r="3" spans="2:7" ht="45" x14ac:dyDescent="0.25">
      <c r="B3" s="6" t="s">
        <v>46</v>
      </c>
      <c r="C3" s="6" t="s">
        <v>16</v>
      </c>
      <c r="D3" s="6" t="s">
        <v>94</v>
      </c>
      <c r="E3" s="6" t="s">
        <v>101</v>
      </c>
      <c r="F3" s="7">
        <v>555.5</v>
      </c>
      <c r="G3" s="6" t="str">
        <f t="shared" ref="G3:G47" si="0">CONCATENATE("Выплатить ",ПадежФИОиРод($B3,$C3,3)," ",ПадежПолнДолж(D3,E3,3)," премию в размере равном ",ПадежВалюты($F3,"EUR",3,1))</f>
        <v>Выплатить Пушкину Александру Сергеевичу Генеральному директору дирекции ОАО "Электрозаборстрой" премию в размере равном 555 (пятистам пятидесяти пяти) евро 50 центам</v>
      </c>
    </row>
    <row r="4" spans="2:7" ht="45" x14ac:dyDescent="0.25">
      <c r="B4" s="6" t="s">
        <v>47</v>
      </c>
      <c r="C4" s="6" t="s">
        <v>16</v>
      </c>
      <c r="D4" s="6" t="s">
        <v>95</v>
      </c>
      <c r="E4" s="6" t="s">
        <v>101</v>
      </c>
      <c r="F4" s="7">
        <v>741.01</v>
      </c>
      <c r="G4" s="6" t="str">
        <f t="shared" si="0"/>
        <v>Выплатить Высоцкому Владимиру Семеновичу Зам. Генерального директора дирекции ОАО "Электрозаборстрой" премию в размере равном 741 (семистам сорока одному) евроу 01 центу</v>
      </c>
    </row>
    <row r="5" spans="2:7" ht="30" x14ac:dyDescent="0.25">
      <c r="B5" s="6" t="s">
        <v>48</v>
      </c>
      <c r="C5" s="6" t="s">
        <v>16</v>
      </c>
      <c r="D5" s="6" t="s">
        <v>127</v>
      </c>
      <c r="E5" s="6" t="s">
        <v>126</v>
      </c>
      <c r="F5" s="7">
        <v>333.56</v>
      </c>
      <c r="G5" s="6" t="str">
        <f t="shared" si="0"/>
        <v>Выплатить Клинцеву Виктору Григорьевичу Секретарю секретариата премию в размере равном 333 (тремстам тридцати трем) евро 56 центам</v>
      </c>
    </row>
    <row r="6" spans="2:7" ht="45" x14ac:dyDescent="0.25">
      <c r="B6" s="6" t="s">
        <v>49</v>
      </c>
      <c r="C6" s="6" t="s">
        <v>16</v>
      </c>
      <c r="D6" s="6" t="s">
        <v>97</v>
      </c>
      <c r="E6" s="6" t="s">
        <v>128</v>
      </c>
      <c r="F6" s="7">
        <v>432.6</v>
      </c>
      <c r="G6" s="6" t="str">
        <f t="shared" si="0"/>
        <v>Выплатить Иванову Сидору Петровичу Главному бухгалтеру отдела бухгалтерского учета премию в размере равном 432 (четыремстам тридцати двум) евро 60 центам</v>
      </c>
    </row>
    <row r="7" spans="2:7" ht="45" x14ac:dyDescent="0.25">
      <c r="B7" s="6" t="s">
        <v>50</v>
      </c>
      <c r="C7" s="6" t="s">
        <v>16</v>
      </c>
      <c r="D7" s="6" t="s">
        <v>96</v>
      </c>
      <c r="E7" s="6" t="s">
        <v>128</v>
      </c>
      <c r="F7" s="7">
        <v>185.2</v>
      </c>
      <c r="G7" s="6" t="str">
        <f t="shared" si="0"/>
        <v>Выплатить Ломоносову Михайле Васильевичу Бухгалтеру отдела бухгалтерского учета премию в размере равном 185 (ста восьмидесяти пяти) евро 20 центам</v>
      </c>
    </row>
    <row r="8" spans="2:7" ht="30" x14ac:dyDescent="0.25">
      <c r="B8" s="6" t="s">
        <v>51</v>
      </c>
      <c r="C8" s="6" t="s">
        <v>90</v>
      </c>
      <c r="D8" s="6" t="s">
        <v>99</v>
      </c>
      <c r="E8" s="6" t="s">
        <v>98</v>
      </c>
      <c r="F8" s="7">
        <v>159.6</v>
      </c>
      <c r="G8" s="6" t="str">
        <f t="shared" si="0"/>
        <v>Выплатить Мицкевич Марии Михайловне Начальнику отдела кадров премию в размере равном 159 (ста пятидесяти девяти) евро 60 центам</v>
      </c>
    </row>
    <row r="9" spans="2:7" ht="30" x14ac:dyDescent="0.25">
      <c r="B9" s="6" t="s">
        <v>52</v>
      </c>
      <c r="C9" s="6" t="s">
        <v>16</v>
      </c>
      <c r="D9" s="6" t="s">
        <v>102</v>
      </c>
      <c r="E9" s="6" t="s">
        <v>98</v>
      </c>
      <c r="F9" s="7">
        <v>120.17</v>
      </c>
      <c r="G9" s="6" t="str">
        <f t="shared" si="0"/>
        <v>Выплатить Хитрово Николаю Захаровичу Инженеру отдела кадров премию в размере равном 120 (ста двадцати) евро 17 центам</v>
      </c>
    </row>
    <row r="10" spans="2:7" ht="45" x14ac:dyDescent="0.25">
      <c r="B10" s="6" t="s">
        <v>53</v>
      </c>
      <c r="C10" s="6" t="s">
        <v>90</v>
      </c>
      <c r="D10" s="6" t="s">
        <v>99</v>
      </c>
      <c r="E10" s="6" t="s">
        <v>100</v>
      </c>
      <c r="F10" s="7">
        <v>265.23</v>
      </c>
      <c r="G10" s="6" t="str">
        <f t="shared" si="0"/>
        <v>Выплатить Польских Галине Александровне Начальнику отдела материально-технического снабжения премию в размере равном 265 (двумстам шестидесяти пяти) евро 23 центам</v>
      </c>
    </row>
    <row r="11" spans="2:7" ht="45" x14ac:dyDescent="0.25">
      <c r="B11" s="6" t="s">
        <v>54</v>
      </c>
      <c r="C11" s="6" t="s">
        <v>90</v>
      </c>
      <c r="D11" s="6" t="s">
        <v>1</v>
      </c>
      <c r="E11" s="6" t="s">
        <v>100</v>
      </c>
      <c r="F11" s="7">
        <v>122</v>
      </c>
      <c r="G11" s="6" t="str">
        <f t="shared" si="0"/>
        <v>Выплатить Черни-Стефаньской Галине Станиславовне Главному инженеру отдела материально-технического снабжения премию в размере равном 122 (ста двадцати двум) евро 00 центам</v>
      </c>
    </row>
    <row r="12" spans="2:7" ht="45" x14ac:dyDescent="0.25">
      <c r="B12" s="6" t="s">
        <v>55</v>
      </c>
      <c r="C12" s="6" t="s">
        <v>16</v>
      </c>
      <c r="D12" s="6" t="s">
        <v>103</v>
      </c>
      <c r="E12" s="6" t="s">
        <v>100</v>
      </c>
      <c r="F12" s="7">
        <v>15.09</v>
      </c>
      <c r="G12" s="6" t="str">
        <f t="shared" si="0"/>
        <v>Выплатить Гоголю Николаю Васильевичу Инженеру 1-ой категории отдела материально-технического снабжения премию в размере равном 15 (пятнадцати) евро 09 центам</v>
      </c>
    </row>
    <row r="13" spans="2:7" ht="45" x14ac:dyDescent="0.25">
      <c r="B13" s="6" t="s">
        <v>56</v>
      </c>
      <c r="C13" s="6" t="s">
        <v>16</v>
      </c>
      <c r="D13" s="6" t="s">
        <v>105</v>
      </c>
      <c r="E13" s="6" t="s">
        <v>100</v>
      </c>
      <c r="F13" s="7">
        <v>159.94900000000001</v>
      </c>
      <c r="G13" s="6" t="str">
        <f t="shared" si="0"/>
        <v>Выплатить Мексиканцу Виталию Петровичу Инженеру-электрику отдела материально-технического снабжения премию в размере равном 159 (ста пятидесяти девяти) евро 95 центам</v>
      </c>
    </row>
    <row r="14" spans="2:7" ht="30" x14ac:dyDescent="0.25">
      <c r="B14" s="6" t="s">
        <v>57</v>
      </c>
      <c r="C14" s="6" t="s">
        <v>90</v>
      </c>
      <c r="D14" s="6" t="s">
        <v>99</v>
      </c>
      <c r="E14" s="6" t="s">
        <v>109</v>
      </c>
      <c r="F14" s="7">
        <v>159.95599999999999</v>
      </c>
      <c r="G14" s="6" t="str">
        <f t="shared" si="0"/>
        <v>Выплатить Слизке Любови Викторовне Начальнику отдела маркетинга премию в размере равном 159 (ста пятидесяти девяти) евро 96 центам</v>
      </c>
    </row>
    <row r="15" spans="2:7" ht="30" x14ac:dyDescent="0.25">
      <c r="B15" s="6" t="s">
        <v>58</v>
      </c>
      <c r="C15" s="6" t="s">
        <v>90</v>
      </c>
      <c r="D15" s="6" t="s">
        <v>108</v>
      </c>
      <c r="E15" s="6" t="s">
        <v>109</v>
      </c>
      <c r="F15" s="7">
        <v>100</v>
      </c>
      <c r="G15" s="6" t="str">
        <f t="shared" si="0"/>
        <v>Выплатить Чиковани Татьяне Кимовне Менеджеру отдела маркетинга премию в размере равном 100 (ста) евро 00 центам</v>
      </c>
    </row>
    <row r="16" spans="2:7" ht="30" x14ac:dyDescent="0.25">
      <c r="B16" s="6" t="s">
        <v>59</v>
      </c>
      <c r="C16" s="6" t="s">
        <v>16</v>
      </c>
      <c r="D16" s="6" t="s">
        <v>110</v>
      </c>
      <c r="E16" s="6" t="s">
        <v>109</v>
      </c>
      <c r="F16" s="7">
        <v>101</v>
      </c>
      <c r="G16" s="6" t="str">
        <f t="shared" si="0"/>
        <v>Выплатить Тер-Иванову Вильяму Карловичу Маркетологу отдела маркетинга премию в размере равном 101 (ста одному) евроу 00 центам</v>
      </c>
    </row>
    <row r="17" spans="2:7" ht="30" x14ac:dyDescent="0.25">
      <c r="B17" s="6" t="s">
        <v>60</v>
      </c>
      <c r="C17" s="6" t="s">
        <v>16</v>
      </c>
      <c r="D17" s="6" t="s">
        <v>111</v>
      </c>
      <c r="E17" s="6" t="s">
        <v>109</v>
      </c>
      <c r="F17" s="7">
        <v>102</v>
      </c>
      <c r="G17" s="6" t="str">
        <f t="shared" si="0"/>
        <v>Выплатить Онуку Сергею Викторовичу Контенту-менеджеру отдела маркетинга премию в размере равном 102 (ста двум) евро 00 центам</v>
      </c>
    </row>
    <row r="18" spans="2:7" ht="30" x14ac:dyDescent="0.25">
      <c r="B18" s="6" t="s">
        <v>61</v>
      </c>
      <c r="C18" s="6" t="s">
        <v>16</v>
      </c>
      <c r="D18" s="6" t="s">
        <v>112</v>
      </c>
      <c r="E18" s="6" t="s">
        <v>113</v>
      </c>
      <c r="F18" s="7">
        <v>103</v>
      </c>
      <c r="G18" s="6" t="str">
        <f t="shared" si="0"/>
        <v>Выплатить Ене Виталию Николаевичу Начальнику проектного управления премию в размере равном 103 (ста трем) евро 00 центам</v>
      </c>
    </row>
    <row r="19" spans="2:7" ht="45" x14ac:dyDescent="0.25">
      <c r="B19" s="6" t="s">
        <v>62</v>
      </c>
      <c r="C19" s="6" t="s">
        <v>16</v>
      </c>
      <c r="D19" s="6" t="s">
        <v>104</v>
      </c>
      <c r="E19" s="6" t="s">
        <v>113</v>
      </c>
      <c r="F19" s="7">
        <v>104</v>
      </c>
      <c r="G19" s="6" t="str">
        <f t="shared" si="0"/>
        <v>Выплатить Ломаке Владимиру Михайловичу Ведущему инженеру проектного управления премию в размере равном 104 (ста четырем) евро 00 центам</v>
      </c>
    </row>
    <row r="20" spans="2:7" ht="45" x14ac:dyDescent="0.25">
      <c r="B20" s="6" t="s">
        <v>63</v>
      </c>
      <c r="C20" s="6" t="s">
        <v>16</v>
      </c>
      <c r="D20" s="6" t="s">
        <v>114</v>
      </c>
      <c r="E20" s="6" t="s">
        <v>113</v>
      </c>
      <c r="F20" s="7">
        <v>105</v>
      </c>
      <c r="G20" s="6" t="str">
        <f t="shared" si="0"/>
        <v>Выплатить Джугашвилли Иосифу Виссарионовичу Инженеру-конструтору проектного управления премию в размере равном 105 (ста пяти) евро 00 центам</v>
      </c>
    </row>
    <row r="21" spans="2:7" ht="45" x14ac:dyDescent="0.25">
      <c r="B21" s="6" t="s">
        <v>64</v>
      </c>
      <c r="C21" s="6" t="s">
        <v>16</v>
      </c>
      <c r="D21" s="6" t="s">
        <v>99</v>
      </c>
      <c r="E21" s="6" t="s">
        <v>141</v>
      </c>
      <c r="F21" s="7">
        <v>100</v>
      </c>
      <c r="G21" s="6" t="str">
        <f t="shared" si="0"/>
        <v>Выплатить Шнеперсону Исраилю Натановичу Начальнику конструкторско-технологического отдела премию в размере равном 100 (ста) евро 00 центам</v>
      </c>
    </row>
    <row r="22" spans="2:7" ht="45" x14ac:dyDescent="0.25">
      <c r="B22" s="6" t="s">
        <v>65</v>
      </c>
      <c r="C22" s="6" t="s">
        <v>90</v>
      </c>
      <c r="D22" s="6" t="s">
        <v>142</v>
      </c>
      <c r="E22" s="6" t="s">
        <v>141</v>
      </c>
      <c r="F22" s="7">
        <v>101</v>
      </c>
      <c r="G22" s="6" t="str">
        <f t="shared" si="0"/>
        <v>Выплатить Чирве Николь Петровне Инженеру-конструктору конструкторско-технологического отдела премию в размере равном 101 (ста одному) евроу 00 центам</v>
      </c>
    </row>
    <row r="23" spans="2:7" ht="45" x14ac:dyDescent="0.25">
      <c r="B23" s="6" t="s">
        <v>66</v>
      </c>
      <c r="C23" s="6" t="s">
        <v>90</v>
      </c>
      <c r="D23" s="6" t="s">
        <v>143</v>
      </c>
      <c r="E23" s="6" t="s">
        <v>141</v>
      </c>
      <c r="F23" s="7">
        <v>102</v>
      </c>
      <c r="G23" s="6" t="str">
        <f t="shared" si="0"/>
        <v>Выплатить Гамзатовой Гюльчетай Рустамовне Инженеру-технологу конструкторско-технологического отдела премию в размере равном 102 (ста двум) евро 00 центам</v>
      </c>
    </row>
    <row r="24" spans="2:7" ht="45" x14ac:dyDescent="0.25">
      <c r="B24" s="6" t="s">
        <v>67</v>
      </c>
      <c r="C24" s="6" t="s">
        <v>90</v>
      </c>
      <c r="D24" s="6" t="s">
        <v>107</v>
      </c>
      <c r="E24" s="6" t="s">
        <v>106</v>
      </c>
      <c r="F24" s="7">
        <v>103</v>
      </c>
      <c r="G24" s="6" t="str">
        <f t="shared" si="0"/>
        <v>Выплатить Галяутдиновой Альфие Абдуллаевне Начальнику производственного участка премию в размере равном 103 (ста трем) евро 00 центам</v>
      </c>
    </row>
    <row r="25" spans="2:7" ht="30" x14ac:dyDescent="0.25">
      <c r="B25" s="6" t="s">
        <v>68</v>
      </c>
      <c r="C25" s="6" t="s">
        <v>16</v>
      </c>
      <c r="D25" s="6" t="s">
        <v>115</v>
      </c>
      <c r="E25" s="6" t="s">
        <v>106</v>
      </c>
      <c r="F25" s="7">
        <v>104</v>
      </c>
      <c r="G25" s="6" t="str">
        <f t="shared" si="0"/>
        <v>Выплатить Надояну Грише Сережаевичу Прорабу производственного участка премию в размере равном 104 (ста четырем) евро 00 центам</v>
      </c>
    </row>
    <row r="26" spans="2:7" ht="45" x14ac:dyDescent="0.25">
      <c r="B26" s="6" t="s">
        <v>69</v>
      </c>
      <c r="C26" s="6" t="s">
        <v>16</v>
      </c>
      <c r="D26" s="6" t="s">
        <v>116</v>
      </c>
      <c r="E26" s="6" t="s">
        <v>106</v>
      </c>
      <c r="F26" s="7">
        <v>105</v>
      </c>
      <c r="G26" s="6" t="str">
        <f t="shared" si="0"/>
        <v>Выплатить Мукамаеву Мише Давлетяновичу Бригадиру производственного участка премию в размере равном 105 (ста пяти) евро 00 центам</v>
      </c>
    </row>
    <row r="27" spans="2:7" ht="30" x14ac:dyDescent="0.25">
      <c r="B27" s="6" t="s">
        <v>70</v>
      </c>
      <c r="C27" s="6" t="s">
        <v>90</v>
      </c>
      <c r="D27" s="6" t="s">
        <v>117</v>
      </c>
      <c r="E27" s="6" t="s">
        <v>106</v>
      </c>
      <c r="F27" s="7">
        <v>100</v>
      </c>
      <c r="G27" s="6" t="str">
        <f t="shared" si="0"/>
        <v>Выплатить Пыкше Татьяне Николаевне Плотнику производственного участка премию в размере равном 100 (ста) евро 00 центам</v>
      </c>
    </row>
    <row r="28" spans="2:7" ht="45" x14ac:dyDescent="0.25">
      <c r="B28" s="6" t="s">
        <v>71</v>
      </c>
      <c r="C28" s="6" t="s">
        <v>90</v>
      </c>
      <c r="D28" s="6" t="s">
        <v>130</v>
      </c>
      <c r="E28" s="6" t="s">
        <v>106</v>
      </c>
      <c r="F28" s="7">
        <v>101</v>
      </c>
      <c r="G28" s="6" t="str">
        <f t="shared" si="0"/>
        <v>Выплатить Шайхаттаровой Муляуше Ирфановне Столяру производственного участка премию в размере равном 101 (ста одному) евроу 00 центам</v>
      </c>
    </row>
    <row r="29" spans="2:7" ht="30" x14ac:dyDescent="0.25">
      <c r="B29" s="6" t="s">
        <v>72</v>
      </c>
      <c r="C29" s="6" t="s">
        <v>90</v>
      </c>
      <c r="D29" s="6" t="s">
        <v>118</v>
      </c>
      <c r="E29" s="6" t="s">
        <v>106</v>
      </c>
      <c r="F29" s="7">
        <v>102</v>
      </c>
      <c r="G29" s="6" t="str">
        <f t="shared" si="0"/>
        <v>Выплатить Фазлыевой Айгули Нурулловне Слесарю производственного участка премию в размере равном 102 (ста двум) евро 00 центам</v>
      </c>
    </row>
    <row r="30" spans="2:7" ht="30" x14ac:dyDescent="0.25">
      <c r="B30" s="6" t="s">
        <v>73</v>
      </c>
      <c r="C30" s="6" t="s">
        <v>16</v>
      </c>
      <c r="D30" s="6" t="s">
        <v>124</v>
      </c>
      <c r="E30" s="6" t="s">
        <v>106</v>
      </c>
      <c r="F30" s="7">
        <v>103</v>
      </c>
      <c r="G30" s="6" t="str">
        <f t="shared" si="0"/>
        <v>Выплатить Дивову Байраму Аскер Оглы Кузнецу производственного участка премию в размере равном 103 (ста трем) евро 00 центам</v>
      </c>
    </row>
    <row r="31" spans="2:7" ht="45" x14ac:dyDescent="0.25">
      <c r="B31" s="6" t="s">
        <v>74</v>
      </c>
      <c r="C31" s="6" t="s">
        <v>16</v>
      </c>
      <c r="D31" s="6" t="s">
        <v>125</v>
      </c>
      <c r="E31" s="6" t="s">
        <v>106</v>
      </c>
      <c r="F31" s="7">
        <v>104</v>
      </c>
      <c r="G31" s="6" t="str">
        <f t="shared" si="0"/>
        <v>Выплатить Аскер-Али-Pаде Адилю Тофик Оглы Электрику производственного участка премию в размере равном 104 (ста четырем) евро 00 центам</v>
      </c>
    </row>
    <row r="32" spans="2:7" ht="45" x14ac:dyDescent="0.25">
      <c r="B32" s="6" t="s">
        <v>75</v>
      </c>
      <c r="C32" s="6" t="s">
        <v>90</v>
      </c>
      <c r="D32" s="6" t="s">
        <v>129</v>
      </c>
      <c r="E32" s="6" t="s">
        <v>106</v>
      </c>
      <c r="F32" s="7">
        <v>105</v>
      </c>
      <c r="G32" s="6" t="str">
        <f t="shared" si="0"/>
        <v>Выплатить Давлетовой Зульфие Нияз Кызы Подсобному рабочему производственного участка премию в размере равном 105 (ста пяти) евро 00 центам</v>
      </c>
    </row>
    <row r="33" spans="2:7" ht="45" x14ac:dyDescent="0.25">
      <c r="B33" s="6" t="s">
        <v>76</v>
      </c>
      <c r="C33" s="6" t="s">
        <v>16</v>
      </c>
      <c r="D33" s="6" t="s">
        <v>99</v>
      </c>
      <c r="E33" s="6" t="s">
        <v>119</v>
      </c>
      <c r="F33" s="7">
        <v>100</v>
      </c>
      <c r="G33" s="6" t="str">
        <f t="shared" si="0"/>
        <v>Выплатить Уткину-Краматорскому-Задунайскому Гавриле Васильевичу Начальнику административного отдела премию в размере равном 100 (ста) евро 00 центам</v>
      </c>
    </row>
    <row r="34" spans="2:7" ht="45" x14ac:dyDescent="0.25">
      <c r="B34" s="6" t="s">
        <v>77</v>
      </c>
      <c r="C34" s="6" t="s">
        <v>16</v>
      </c>
      <c r="D34" s="6" t="s">
        <v>120</v>
      </c>
      <c r="E34" s="6" t="s">
        <v>119</v>
      </c>
      <c r="F34" s="7">
        <v>101</v>
      </c>
      <c r="G34" s="6" t="str">
        <f t="shared" si="0"/>
        <v>Выплатить Амбарцумяну Карену Грачи Зам. Начальника административного отдела премию в размере равном 101 (ста одному) евроу 00 центам</v>
      </c>
    </row>
    <row r="35" spans="2:7" ht="30" x14ac:dyDescent="0.25">
      <c r="B35" s="6" t="s">
        <v>78</v>
      </c>
      <c r="C35" s="6" t="s">
        <v>16</v>
      </c>
      <c r="D35" s="6" t="s">
        <v>102</v>
      </c>
      <c r="E35" s="6" t="s">
        <v>119</v>
      </c>
      <c r="F35" s="7">
        <v>102</v>
      </c>
      <c r="G35" s="6" t="str">
        <f t="shared" si="0"/>
        <v>Выплатить Ковалю Юрию Иосифовичу Инженеру административного отдела премию в размере равном 102 (ста двум) евро 00 центам</v>
      </c>
    </row>
    <row r="36" spans="2:7" ht="45" x14ac:dyDescent="0.25">
      <c r="B36" s="6" t="s">
        <v>79</v>
      </c>
      <c r="C36" s="6" t="s">
        <v>90</v>
      </c>
      <c r="D36" s="6" t="s">
        <v>121</v>
      </c>
      <c r="E36" s="6" t="s">
        <v>119</v>
      </c>
      <c r="F36" s="7">
        <v>103</v>
      </c>
      <c r="G36" s="6" t="str">
        <f t="shared" si="0"/>
        <v>Выплатить Добржанской Любови Ивановне Водителю-экспедитору административного отдела премию в размере равном 103 (ста трем) евро 00 центам</v>
      </c>
    </row>
    <row r="37" spans="2:7" ht="30" x14ac:dyDescent="0.25">
      <c r="B37" s="6" t="s">
        <v>80</v>
      </c>
      <c r="C37" s="6" t="s">
        <v>90</v>
      </c>
      <c r="D37" s="6" t="s">
        <v>122</v>
      </c>
      <c r="E37" s="6" t="s">
        <v>119</v>
      </c>
      <c r="F37" s="7">
        <v>104</v>
      </c>
      <c r="G37" s="6" t="str">
        <f t="shared" si="0"/>
        <v>Выплатить Виролайнен Любови Ивановне Повару административного отдела премию в размере равном 104 (ста четырем) евро 00 центам</v>
      </c>
    </row>
    <row r="38" spans="2:7" ht="45" x14ac:dyDescent="0.25">
      <c r="B38" s="6" t="s">
        <v>81</v>
      </c>
      <c r="C38" s="6" t="s">
        <v>90</v>
      </c>
      <c r="D38" s="6" t="s">
        <v>123</v>
      </c>
      <c r="E38" s="6" t="s">
        <v>119</v>
      </c>
      <c r="F38" s="7">
        <v>105</v>
      </c>
      <c r="G38" s="6" t="str">
        <f t="shared" si="0"/>
        <v>Выплатить Коваль Алле Петровне Клининговому работнику административного отдела премию в размере равном 105 (ста пяти) евро 00 центам</v>
      </c>
    </row>
    <row r="39" spans="2:7" ht="30" x14ac:dyDescent="0.25">
      <c r="B39" s="6" t="s">
        <v>82</v>
      </c>
      <c r="C39" s="6" t="s">
        <v>16</v>
      </c>
      <c r="D39" s="6" t="s">
        <v>99</v>
      </c>
      <c r="E39" s="6" t="s">
        <v>131</v>
      </c>
      <c r="F39" s="7">
        <v>100</v>
      </c>
      <c r="G39" s="6" t="str">
        <f t="shared" si="0"/>
        <v>Выплатить Иванову С.П. Начальнику ИТ отдела премию в размере равном 100 (ста) евро 00 центам</v>
      </c>
    </row>
    <row r="40" spans="2:7" ht="30" x14ac:dyDescent="0.25">
      <c r="B40" s="6" t="s">
        <v>83</v>
      </c>
      <c r="C40" s="6" t="s">
        <v>90</v>
      </c>
      <c r="D40" s="6" t="s">
        <v>135</v>
      </c>
      <c r="E40" s="6" t="s">
        <v>131</v>
      </c>
      <c r="F40" s="7">
        <v>101</v>
      </c>
      <c r="G40" s="6" t="str">
        <f t="shared" si="0"/>
        <v>Выплатить Петровой Р М Архитектору ИТ отдела премию в размере равном 101 (ста одному) евроу 00 центам</v>
      </c>
    </row>
    <row r="41" spans="2:7" ht="30" x14ac:dyDescent="0.25">
      <c r="B41" s="6" t="s">
        <v>84</v>
      </c>
      <c r="C41" s="6" t="s">
        <v>16</v>
      </c>
      <c r="D41" s="6" t="s">
        <v>132</v>
      </c>
      <c r="E41" s="6" t="s">
        <v>131</v>
      </c>
      <c r="F41" s="7">
        <v>102</v>
      </c>
      <c r="G41" s="6" t="str">
        <f t="shared" si="0"/>
        <v>Выплатить Шевченко Тарасу Григорьевичу Инженеру-программисту ИТ отдела премию в размере равном 102 (ста двум) евро 00 центам</v>
      </c>
    </row>
    <row r="42" spans="2:7" ht="30" x14ac:dyDescent="0.25">
      <c r="B42" s="6" t="s">
        <v>85</v>
      </c>
      <c r="C42" s="6" t="s">
        <v>16</v>
      </c>
      <c r="D42" s="6" t="s">
        <v>133</v>
      </c>
      <c r="E42" s="6" t="s">
        <v>131</v>
      </c>
      <c r="F42" s="7">
        <v>103</v>
      </c>
      <c r="G42" s="6" t="str">
        <f t="shared" si="0"/>
        <v>Выплатить Джантюрину Салим-Гирею Ахмедовичу Web программисту ИТ отдела премию в размере равном 103 (ста трем) евро 00 центам</v>
      </c>
    </row>
    <row r="43" spans="2:7" ht="45" x14ac:dyDescent="0.25">
      <c r="B43" s="6" t="s">
        <v>86</v>
      </c>
      <c r="C43" s="6" t="s">
        <v>16</v>
      </c>
      <c r="D43" s="6" t="s">
        <v>134</v>
      </c>
      <c r="E43" s="6" t="s">
        <v>131</v>
      </c>
      <c r="F43" s="7">
        <v>104</v>
      </c>
      <c r="G43" s="6" t="str">
        <f t="shared" si="0"/>
        <v>Выплатить Демут-Малиновскому Василию Ивановичу Системному администратору ИТ отдела премию в размере равном 104 (ста четырем) евро 00 центам</v>
      </c>
    </row>
    <row r="44" spans="2:7" ht="30" x14ac:dyDescent="0.25">
      <c r="B44" s="6" t="s">
        <v>53</v>
      </c>
      <c r="C44" s="6" t="s">
        <v>90</v>
      </c>
      <c r="D44" s="6" t="s">
        <v>137</v>
      </c>
      <c r="E44" s="6" t="s">
        <v>136</v>
      </c>
      <c r="F44" s="7">
        <v>105</v>
      </c>
      <c r="G44" s="6" t="str">
        <f t="shared" si="0"/>
        <v>Выплатить Польских Галине Александровне Начальнику цеха складских операций премию в размере равном 105 (ста пяти) евро 00 центам</v>
      </c>
    </row>
    <row r="45" spans="2:7" ht="30" x14ac:dyDescent="0.25">
      <c r="B45" s="6" t="s">
        <v>87</v>
      </c>
      <c r="C45" s="6" t="s">
        <v>16</v>
      </c>
      <c r="D45" s="6" t="s">
        <v>138</v>
      </c>
      <c r="E45" s="6" t="s">
        <v>136</v>
      </c>
      <c r="F45" s="7">
        <v>100</v>
      </c>
      <c r="G45" s="6" t="str">
        <f t="shared" si="0"/>
        <v>Выплатить Островских Петру Евгеньевичу Транспортировщику цеха складских операций премию в размере равном 100 (ста) евро 00 центам</v>
      </c>
    </row>
    <row r="46" spans="2:7" ht="30" x14ac:dyDescent="0.25">
      <c r="B46" s="6" t="s">
        <v>88</v>
      </c>
      <c r="C46" s="6" t="s">
        <v>16</v>
      </c>
      <c r="D46" s="6" t="s">
        <v>139</v>
      </c>
      <c r="E46" s="6" t="s">
        <v>136</v>
      </c>
      <c r="F46" s="7">
        <v>101</v>
      </c>
      <c r="G46" s="6" t="str">
        <f t="shared" si="0"/>
        <v>Выплатить Сидорову М.И Водителю погрузяика цеха складских операций премию в размере равном 101 (ста одному) евроу 00 центам</v>
      </c>
    </row>
    <row r="47" spans="2:7" ht="30" x14ac:dyDescent="0.25">
      <c r="B47" s="6" t="s">
        <v>89</v>
      </c>
      <c r="C47" s="6" t="s">
        <v>16</v>
      </c>
      <c r="D47" s="6" t="s">
        <v>140</v>
      </c>
      <c r="E47" s="6" t="s">
        <v>136</v>
      </c>
      <c r="F47" s="7">
        <v>102</v>
      </c>
      <c r="G47" s="6" t="str">
        <f t="shared" si="0"/>
        <v>Выплатить Дидаеву Рамзану Саид-Ахмедовичу Грузчику цеха складских операций премию в размере равном 102 (ста двум) евро 00 центам</v>
      </c>
    </row>
  </sheetData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Примеры</vt:lpstr>
      <vt:lpstr>ФИО</vt:lpstr>
      <vt:lpstr>Кадры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Геннадий Покаташкин</dc:creator>
  <cp:lastModifiedBy>seer</cp:lastModifiedBy>
  <dcterms:created xsi:type="dcterms:W3CDTF">2021-01-18T03:57:01Z</dcterms:created>
  <dcterms:modified xsi:type="dcterms:W3CDTF">2021-02-03T21:19:19Z</dcterms:modified>
</cp:coreProperties>
</file>